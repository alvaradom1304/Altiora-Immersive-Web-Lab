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suario\AppData\Local\Temp\claude\C--Users-Usuario-Documents-Codex-2026-10-29-referenced-chatgpt-conversation-this-is-an-work-Altiora-Immersive-Web-Lab\07312f5f-5198-409f-81c9-36c04a037b42\scratchpad\final\"/>
    </mc:Choice>
  </mc:AlternateContent>
  <xr:revisionPtr revIDLastSave="0" documentId="13_ncr:1_{1AD47A15-43C9-438F-A498-D4716F9CD312}" xr6:coauthVersionLast="47" xr6:coauthVersionMax="47" xr10:uidLastSave="{00000000-0000-0000-0000-000000000000}"/>
  <bookViews>
    <workbookView xWindow="1560" yWindow="1560" windowWidth="15375" windowHeight="8325" xr2:uid="{00000000-000D-0000-FFFF-FFFF00000000}"/>
  </bookViews>
  <sheets>
    <sheet name="Instrucciones" sheetId="1" r:id="rId1"/>
    <sheet name="Fichas" sheetId="2" r:id="rId2"/>
    <sheet name="Consultas" sheetId="3" r:id="rId3"/>
    <sheet name="Resumen" sheetId="4" r:id="rId4"/>
  </sheets>
  <definedNames>
    <definedName name="_xlnm._FilterDatabase" localSheetId="2" hidden="1">Consultas!$A$1:$O$301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6" i="4" l="1"/>
  <c r="I85" i="4"/>
  <c r="I84" i="4"/>
  <c r="I83" i="4"/>
  <c r="I82" i="4"/>
  <c r="I81" i="4"/>
  <c r="I80" i="4"/>
  <c r="I79" i="4"/>
  <c r="C74" i="4"/>
  <c r="B74" i="4"/>
  <c r="D74" i="4" s="1"/>
  <c r="C73" i="4"/>
  <c r="B73" i="4"/>
  <c r="D73" i="4" s="1"/>
  <c r="C72" i="4"/>
  <c r="B72" i="4"/>
  <c r="D72" i="4" s="1"/>
  <c r="C71" i="4"/>
  <c r="B71" i="4"/>
  <c r="D71" i="4" s="1"/>
  <c r="C70" i="4"/>
  <c r="B70" i="4"/>
  <c r="D70" i="4" s="1"/>
  <c r="C69" i="4"/>
  <c r="C75" i="4" s="1"/>
  <c r="B69" i="4"/>
  <c r="H64" i="4"/>
  <c r="G64" i="4"/>
  <c r="F64" i="4"/>
  <c r="E64" i="4"/>
  <c r="D64" i="4"/>
  <c r="C64" i="4"/>
  <c r="B64" i="4"/>
  <c r="H63" i="4"/>
  <c r="G63" i="4"/>
  <c r="F63" i="4"/>
  <c r="E63" i="4"/>
  <c r="D63" i="4"/>
  <c r="C63" i="4"/>
  <c r="B63" i="4"/>
  <c r="H62" i="4"/>
  <c r="G62" i="4"/>
  <c r="F62" i="4"/>
  <c r="E62" i="4"/>
  <c r="D62" i="4"/>
  <c r="C62" i="4"/>
  <c r="B62" i="4"/>
  <c r="H61" i="4"/>
  <c r="G61" i="4"/>
  <c r="F61" i="4"/>
  <c r="E61" i="4"/>
  <c r="D61" i="4"/>
  <c r="C61" i="4"/>
  <c r="B61" i="4"/>
  <c r="H60" i="4"/>
  <c r="G60" i="4"/>
  <c r="F60" i="4"/>
  <c r="E60" i="4"/>
  <c r="D60" i="4"/>
  <c r="C60" i="4"/>
  <c r="B60" i="4"/>
  <c r="H59" i="4"/>
  <c r="H65" i="4" s="1"/>
  <c r="G59" i="4"/>
  <c r="G65" i="4" s="1"/>
  <c r="F59" i="4"/>
  <c r="F65" i="4" s="1"/>
  <c r="E59" i="4"/>
  <c r="E65" i="4" s="1"/>
  <c r="D59" i="4"/>
  <c r="D65" i="4" s="1"/>
  <c r="C59" i="4"/>
  <c r="C65" i="4" s="1"/>
  <c r="B59" i="4"/>
  <c r="B65" i="4" s="1"/>
  <c r="D54" i="4"/>
  <c r="C54" i="4"/>
  <c r="B54" i="4"/>
  <c r="D53" i="4"/>
  <c r="C53" i="4"/>
  <c r="B53" i="4"/>
  <c r="D52" i="4"/>
  <c r="C52" i="4"/>
  <c r="B52" i="4"/>
  <c r="D51" i="4"/>
  <c r="C51" i="4"/>
  <c r="B51" i="4"/>
  <c r="D50" i="4"/>
  <c r="C50" i="4"/>
  <c r="B50" i="4"/>
  <c r="D49" i="4"/>
  <c r="D55" i="4" s="1"/>
  <c r="C49" i="4"/>
  <c r="C55" i="4" s="1"/>
  <c r="B49" i="4"/>
  <c r="B55" i="4" s="1"/>
  <c r="B45" i="4"/>
  <c r="G44" i="4"/>
  <c r="F44" i="4"/>
  <c r="E44" i="4"/>
  <c r="D44" i="4"/>
  <c r="K43" i="4"/>
  <c r="G43" i="4"/>
  <c r="F43" i="4"/>
  <c r="E43" i="4"/>
  <c r="I43" i="4" s="1"/>
  <c r="D43" i="4"/>
  <c r="H43" i="4" s="1"/>
  <c r="C43" i="4"/>
  <c r="K42" i="4"/>
  <c r="G42" i="4"/>
  <c r="F42" i="4"/>
  <c r="E42" i="4"/>
  <c r="I42" i="4" s="1"/>
  <c r="D42" i="4"/>
  <c r="H42" i="4" s="1"/>
  <c r="C42" i="4"/>
  <c r="B36" i="4"/>
  <c r="E29" i="4"/>
  <c r="E28" i="4"/>
  <c r="E27" i="4"/>
  <c r="E26" i="4"/>
  <c r="L16" i="4"/>
  <c r="H16" i="4"/>
  <c r="G15" i="4"/>
  <c r="F15" i="4"/>
  <c r="E15" i="4"/>
  <c r="D15" i="4"/>
  <c r="C15" i="4"/>
  <c r="B15" i="4"/>
  <c r="G14" i="4"/>
  <c r="F14" i="4"/>
  <c r="E14" i="4"/>
  <c r="D14" i="4"/>
  <c r="C14" i="4"/>
  <c r="B14" i="4"/>
  <c r="L13" i="4"/>
  <c r="G13" i="4"/>
  <c r="F13" i="4"/>
  <c r="E13" i="4"/>
  <c r="D13" i="4"/>
  <c r="C13" i="4"/>
  <c r="B13" i="4"/>
  <c r="L12" i="4"/>
  <c r="G12" i="4"/>
  <c r="F12" i="4"/>
  <c r="E12" i="4"/>
  <c r="D12" i="4"/>
  <c r="C12" i="4"/>
  <c r="B12" i="4"/>
  <c r="L11" i="4"/>
  <c r="G11" i="4"/>
  <c r="F11" i="4"/>
  <c r="E11" i="4"/>
  <c r="D11" i="4"/>
  <c r="C11" i="4"/>
  <c r="B11" i="4"/>
  <c r="L10" i="4"/>
  <c r="G10" i="4"/>
  <c r="G16" i="4" s="1"/>
  <c r="F10" i="4"/>
  <c r="F16" i="4" s="1"/>
  <c r="E10" i="4"/>
  <c r="E16" i="4" s="1"/>
  <c r="D10" i="4"/>
  <c r="D16" i="4" s="1"/>
  <c r="C10" i="4"/>
  <c r="B10" i="4"/>
  <c r="B6" i="4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D5" i="2"/>
  <c r="C5" i="2"/>
  <c r="D4" i="2"/>
  <c r="C4" i="2"/>
  <c r="D3" i="2"/>
  <c r="C3" i="2"/>
  <c r="D69" i="4" l="1"/>
  <c r="B75" i="4"/>
  <c r="D75" i="4" s="1"/>
  <c r="K15" i="4"/>
  <c r="J15" i="4"/>
  <c r="I64" i="4"/>
  <c r="E54" i="4"/>
  <c r="I15" i="4"/>
  <c r="K14" i="4"/>
  <c r="J14" i="4"/>
  <c r="I63" i="4"/>
  <c r="E53" i="4"/>
  <c r="I14" i="4"/>
  <c r="K13" i="4"/>
  <c r="J13" i="4"/>
  <c r="I62" i="4"/>
  <c r="E52" i="4"/>
  <c r="I13" i="4"/>
  <c r="J12" i="4"/>
  <c r="K12" i="4"/>
  <c r="E51" i="4"/>
  <c r="I61" i="4"/>
  <c r="I12" i="4"/>
  <c r="K11" i="4"/>
  <c r="J11" i="4"/>
  <c r="E50" i="4"/>
  <c r="I60" i="4"/>
  <c r="I11" i="4"/>
  <c r="C16" i="4"/>
  <c r="K10" i="4"/>
  <c r="J10" i="4"/>
  <c r="B16" i="4"/>
  <c r="I16" i="4" s="1"/>
  <c r="E49" i="4"/>
  <c r="E55" i="4" s="1"/>
  <c r="I59" i="4"/>
  <c r="I65" i="4" s="1"/>
  <c r="I10" i="4"/>
  <c r="J16" i="4" l="1"/>
  <c r="K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Altiora</author>
  </authors>
  <commentList>
    <comment ref="U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CONFIDENCIAL: el costo sirve solo para calcular margen. No va en anuncios, guiones ni conversaciones con clientes. Si compartís el archivo fuera del negocio, dejalo vacío.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Altiora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Se pone solo al escribir la fecha o el código. Es un correlativo, nunca el teléfono.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Altiora</author>
  </authors>
  <commentList>
    <comment ref="K1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Total = pauta total ÷ cualificadas de los códigos que tienen pauta. Las consultas orgánicas no se mezclan en este costo.</t>
        </r>
      </text>
    </comment>
    <comment ref="L16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Total = cualificadas de los códigos que tienen alcance ÷ ese alcance sumado. Los códigos sin alcance no entran.</t>
        </r>
      </text>
    </comment>
  </commentList>
</comments>
</file>

<file path=xl/sharedStrings.xml><?xml version="1.0" encoding="utf-8"?>
<sst xmlns="http://schemas.openxmlformats.org/spreadsheetml/2006/main" count="298" uniqueCount="185">
  <si>
    <t>Registro El Tilichero: fichas, consultas y resumen</t>
  </si>
  <si>
    <t>Plantilla vacía. Sirve para saber qué video trae pedidos sin guardar datos personales.</t>
  </si>
  <si>
    <t>Leyenda</t>
  </si>
  <si>
    <t>Celda amarilla</t>
  </si>
  <si>
    <t>Se llena a mano.</t>
  </si>
  <si>
    <t>Celda gris</t>
  </si>
  <si>
    <t>Se calcula sola. No escribir encima.</t>
  </si>
  <si>
    <t>Fila roja en «Consultas»</t>
  </si>
  <si>
    <t>Algo no cuadra en esa fila (ver «Control del registro» en «Resumen»).</t>
  </si>
  <si>
    <t>Cuándo llenar</t>
  </si>
  <si>
    <t>Antes de grabar</t>
  </si>
  <si>
    <t>Hoja «Fichas»: una fila por producto (GAME, RETRO, RGB). Ningún dato entra a un guion hasta que su columna «¿Verificado?» diga Sí.</t>
  </si>
  <si>
    <t>Cada día</t>
  </si>
  <si>
    <t>Hoja «Consultas»: una fila por conversación nueva de WhatsApp. El N.º se pone solo al escribir la fecha o el código.</t>
  </si>
  <si>
    <t>A los 7 días</t>
  </si>
  <si>
    <t>Hoja «Resumen»: escribí Desde/Hasta, la inversión en pauta de cada código (vacía = sin pauta), el alcance de cada pieza por plataforma (de Insights), las fechas de publicación y el alcance de GAME1 y GAME2 en su ventana, y contestá las preguntas de condiciones. Mandá el resumen a Altiora.</t>
  </si>
  <si>
    <t>Códigos de pieza</t>
  </si>
  <si>
    <t>GAME1 y GAME2</t>
  </si>
  <si>
    <t>Dos videos distintos del MISMO audífono gaming (se comparan entre sí).</t>
  </si>
  <si>
    <t>RETRO1</t>
  </si>
  <si>
    <t>Video de la consola portátil retro.</t>
  </si>
  <si>
    <t>RGB1</t>
  </si>
  <si>
    <t>Video del mouse o periférico gaming (o del accesorio que lo sustituya).</t>
  </si>
  <si>
    <t>OTRO</t>
  </si>
  <si>
    <t>Viene por otra publicación, historia o anuncio que no es de esta prueba.</t>
  </si>
  <si>
    <t>SIN CODIGO</t>
  </si>
  <si>
    <t>No dijo código ni de dónde viene, o escribió uno que no está en la lista (por ejemplo, GAME sin número). Copiá en la nota lo que escribió.</t>
  </si>
  <si>
    <t>Alcance (Insights)</t>
  </si>
  <si>
    <t>Qué anotar</t>
  </si>
  <si>
    <t>El total de cuentas o personas alcanzadas por cada pieza en cada plataforma, no las reproducciones. Solo el número: nunca nombres de cuentas ni listas de quién la vio.</t>
  </si>
  <si>
    <t>Dónde verlo</t>
  </si>
  <si>
    <t>En las estadísticas (Insights) de cada publicación, con cuenta profesional. Instagram: «Cuentas alcanzadas». Facebook (Meta Business Suite): «Alcance». TikTok: el dato de espectadores del video. Los nombres pueden cambiar con la app.</t>
  </si>
  <si>
    <t>Cuándo leerlo</t>
  </si>
  <si>
    <t>Cuadro general: el día «Hasta». Prueba A: el día «Cuenta hasta» de cada pieza. El alcance se acumula, así que leerlo otro día cambia el número.</t>
  </si>
  <si>
    <t>No registrar</t>
  </si>
  <si>
    <t>Nunca</t>
  </si>
  <si>
    <t>Nombres, teléfonos, direcciones exactas, correos, capturas de chats ni datos de pago. La zona es solo GAM / Fuera de GAM / No dijo.</t>
  </si>
  <si>
    <t>Definiciones</t>
  </si>
  <si>
    <t>Consulta repetida</t>
  </si>
  <si>
    <t>La misma persona vuelve a escribir por lo mismo: marcá Sí y actualizá la fila original. Las repetidas no se cuentan.</t>
  </si>
  <si>
    <t>Consulta cualificada</t>
  </si>
  <si>
    <t>La persona dice qué producto o necesidad tiene Y en qué zona recibe.</t>
  </si>
  <si>
    <t>Cotizada</t>
  </si>
  <si>
    <t>Le mandaste precio final con envío.</t>
  </si>
  <si>
    <t>Pedido confirmado</t>
  </si>
  <si>
    <t>La persona confirmó que lo compra. Todavía no es plata.</t>
  </si>
  <si>
    <t>Cobrado</t>
  </si>
  <si>
    <t>El pago entró. Solo aquí se anota el monto en colones.</t>
  </si>
  <si>
    <t>Venta neta</t>
  </si>
  <si>
    <t>Cobrado menos devoluciones y descuentos. No se calcula en este archivo: si hubo devolución, escribí DEVOLUCIÓN y el monto en la nota, sin borrar el cobro.</t>
  </si>
  <si>
    <t>Cómo leer</t>
  </si>
  <si>
    <t>NO CALCULABLE</t>
  </si>
  <si>
    <t>La división no se puede hacer porque abajo hay 0 o nada. No es 0 %.</t>
  </si>
  <si>
    <t>SIN PAUTA</t>
  </si>
  <si>
    <t>Ese código no tiene inversión escrita, así que no hay costo por consulta.</t>
  </si>
  <si>
    <t>Cualificadas / alcance</t>
  </si>
  <si>
    <t>Solo se calcula con alcance escrito y mayor que 0. Si no, dice NO CALCULABLE y se miran los números absolutos junto al alcance que sí se conoce. Más consultas pueden venir de más alcance y no de un mejor video.</t>
  </si>
  <si>
    <t>Prueba A</t>
  </si>
  <si>
    <t>Compara GAME1 y GAME2 con la misma ventana de días desde que se publicó cada uno. Las demás piezas salen en días distintos: no se comparan con el cuadro general.</t>
  </si>
  <si>
    <t>Producto ganador</t>
  </si>
  <si>
    <t>Con pocas consultas no se declara ganador. Si hubo falta de stock, cambio de precio o GAME1 y GAME2 salieron en canales u horas distintas, la comparación no vale: se extiende o se repite.</t>
  </si>
  <si>
    <t>Formatos</t>
  </si>
  <si>
    <t>Fechas</t>
  </si>
  <si>
    <t>dd/mm/aaaa. Revisá que el día y el mes queden en su lugar.</t>
  </si>
  <si>
    <t>Montos</t>
  </si>
  <si>
    <t>Solo números, en colones, sin el símbolo ₡ (el formato lo pone).</t>
  </si>
  <si>
    <t>Minutos</t>
  </si>
  <si>
    <t>Número entero: minutos desde que escribió hasta tu primera respuesta.</t>
  </si>
  <si>
    <t>Código</t>
  </si>
  <si>
    <t>Producto</t>
  </si>
  <si>
    <t>Estado de la ficha</t>
  </si>
  <si>
    <t>Campos listos (de 16)</t>
  </si>
  <si>
    <t>1. Marca</t>
  </si>
  <si>
    <t>2. Modelo exacto</t>
  </si>
  <si>
    <t>3. Foto o video propio disponible</t>
  </si>
  <si>
    <t>4. Precio vigente (₡)</t>
  </si>
  <si>
    <t>5. Costo unitario (₡) · CONFIDENCIAL</t>
  </si>
  <si>
    <t>6. Stock (unidades)</t>
  </si>
  <si>
    <t>7. Compatibilidad comprobada (con qué y cómo)</t>
  </si>
  <si>
    <t>8. Características comprobadas (conexión, iluminación, botones…)</t>
  </si>
  <si>
    <t>9. Garantía: plazo</t>
  </si>
  <si>
    <t>10. Garantía: quién la da</t>
  </si>
  <si>
    <t>11. Entrega: zonas</t>
  </si>
  <si>
    <t>12. Entrega: costo (₡)</t>
  </si>
  <si>
    <t>13. Entrega: plazo</t>
  </si>
  <si>
    <t>14. Origen / autenticidad</t>
  </si>
  <si>
    <t>15. Contenido incluido y permisos de gameplay o música (RETRO)</t>
  </si>
  <si>
    <t>16. Quién aprueba los claims</t>
  </si>
  <si>
    <t>Valor</t>
  </si>
  <si>
    <t>Fuente / cómo se comprobó</t>
  </si>
  <si>
    <t>Fecha</t>
  </si>
  <si>
    <t>¿Verificado?</t>
  </si>
  <si>
    <t>GAME</t>
  </si>
  <si>
    <t>Audífonos gaming (mismo SKU para GAME1 y GAME2)</t>
  </si>
  <si>
    <t>RETRO</t>
  </si>
  <si>
    <t>Consola portátil retro (RETRO1)</t>
  </si>
  <si>
    <t>RGB</t>
  </si>
  <si>
    <t>Mouse o periférico gaming, o accesorio sustituto validado (RGB1)</t>
  </si>
  <si>
    <t>Regla: ningún claim entra a un guion hasta que su campo diga ¿Verificado? = Sí. GAME1 y GAME2 usan la misma fila GAME. El costo unitario es confidencial.</t>
  </si>
  <si>
    <t>N.º de consulta</t>
  </si>
  <si>
    <t>Canal de origen (dónde nos vio)</t>
  </si>
  <si>
    <t>Código de pieza</t>
  </si>
  <si>
    <t>Producto consultado</t>
  </si>
  <si>
    <t>Zona</t>
  </si>
  <si>
    <t>¿Consulta repetida?</t>
  </si>
  <si>
    <t>Cualificada</t>
  </si>
  <si>
    <t>Monto cobrado (₡)</t>
  </si>
  <si>
    <t>Minutos hasta la primera respuesta</t>
  </si>
  <si>
    <t>Objeción principal</t>
  </si>
  <si>
    <t>Nota breve (sin datos personales)</t>
  </si>
  <si>
    <t>Resumen de la prueba · El Tilichero</t>
  </si>
  <si>
    <t>Cuenta solo consultas únicas (¿Consulta repetida? distinto de Sí) con fecha dentro del periodo. Amarillo = llenar a mano; gris = se calcula solo.</t>
  </si>
  <si>
    <t>Desde</t>
  </si>
  <si>
    <t>Vacía = desde el inicio del registro.</t>
  </si>
  <si>
    <t>Hasta</t>
  </si>
  <si>
    <t>Vacía = hasta el final del registro. La pauta de abajo debe ser la de ESTAS mismas fechas.</t>
  </si>
  <si>
    <t>Estado del registro</t>
  </si>
  <si>
    <t>Embudo por código de pieza</t>
  </si>
  <si>
    <t>Consultas únicas</t>
  </si>
  <si>
    <t>Cualificadas</t>
  </si>
  <si>
    <t>Cotizaciones</t>
  </si>
  <si>
    <t>Pedidos confirmados</t>
  </si>
  <si>
    <t>Cobrados</t>
  </si>
  <si>
    <t>Ingresos cobrados (₡)</t>
  </si>
  <si>
    <t>Inversión en pauta (₡) · escribir a mano</t>
  </si>
  <si>
    <t>Cualificadas / consultas</t>
  </si>
  <si>
    <t>Pedidos / cualificadas</t>
  </si>
  <si>
    <t>Costo por consulta cualificada (₡)</t>
  </si>
  <si>
    <t>GAME1</t>
  </si>
  <si>
    <t>GAME2</t>
  </si>
  <si>
    <t>No aplica</t>
  </si>
  <si>
    <t>Total</t>
  </si>
  <si>
    <t>NO CALCULABLE = el denominador es 0 o está vacío; no significa 0 %. SIN PAUTA = no hay inversión escrita.</t>
  </si>
  <si>
    <t>Ingresos cobrados no es venta neta: faltan devoluciones, descuentos, costo del producto y envío.</t>
  </si>
  <si>
    <t>Las piezas salen en días distintos: este cuadro suma, no compara piezas. GAME1 frente a GAME2 se mira en el bloque «Prueba A».</t>
  </si>
  <si>
    <t>Cualificadas / alcance usa el bloque de alcance de abajo (mismo periodo Desde/Hasta). Sin alcance: NO CALCULABLE, y se miran los volúmenes absolutos.</t>
  </si>
  <si>
    <t>Alcance por pieza y plataforma (de Insights, escribir a mano)</t>
  </si>
  <si>
    <t>Tiene que ser del MISMO periodo que Desde/Hasta: leé el alcance el día «Hasta». Anotá cuentas o personas alcanzadas, no reproducciones.</t>
  </si>
  <si>
    <t>Solo números totales, sin datos de personas. Dejá vacía la plataforma donde la pieza no se publicó. La suma puede contar dos veces a quien vio la pieza en dos plataformas.</t>
  </si>
  <si>
    <t>Pieza</t>
  </si>
  <si>
    <t>Instagram</t>
  </si>
  <si>
    <t>Facebook</t>
  </si>
  <si>
    <t>TikTok</t>
  </si>
  <si>
    <t>Leído el (fecha)</t>
  </si>
  <si>
    <t>Condiciones de la prueba (contestar al revisar)</t>
  </si>
  <si>
    <t>¿Algún producto de la prueba estuvo sin stock en algún momento del periodo?</t>
  </si>
  <si>
    <t>¿Cambiaron el precio, la oferta o el costo de envío durante el periodo?</t>
  </si>
  <si>
    <t>¿GAME1 y GAME2 salieron en el mismo canal y a la misma hora del día?</t>
  </si>
  <si>
    <t>¿GAME1 y GAME2 tuvieron la misma inversión en pauta (o ninguna de las dos)?</t>
  </si>
  <si>
    <t>Lectura</t>
  </si>
  <si>
    <t>Prueba A: GAME1 frente a GAME2 con ventanas iguales</t>
  </si>
  <si>
    <t>Cada pieza se cuenta desde su fecha de publicación hasta 3 días después, inclusive (aproxima las 72 h del plan con fechas sin hora). Este bloque no usa Desde/Hasta.</t>
  </si>
  <si>
    <t>El alcance de esta tabla es el de cada pieza leído en Insights el día «Cuenta hasta». Si falta el de una de las dos, la lectura es solo descriptiva.</t>
  </si>
  <si>
    <t>Fecha de publicación · escribir a mano</t>
  </si>
  <si>
    <t>Cuenta hasta</t>
  </si>
  <si>
    <t>Alcance en su ventana (Insights) · escribir a mano</t>
  </si>
  <si>
    <t>GAME2 − GAME1</t>
  </si>
  <si>
    <t>Zona de las consultas únicas</t>
  </si>
  <si>
    <t>GAM</t>
  </si>
  <si>
    <t>Fuera de GAM</t>
  </si>
  <si>
    <t>No dijo</t>
  </si>
  <si>
    <t>Sin dato</t>
  </si>
  <si>
    <t>Objeción principal de las consultas únicas</t>
  </si>
  <si>
    <t>Precio</t>
  </si>
  <si>
    <t>Compatibilidad</t>
  </si>
  <si>
    <t>Envío</t>
  </si>
  <si>
    <t>Garantía</t>
  </si>
  <si>
    <t>Confianza</t>
  </si>
  <si>
    <t>Stock</t>
  </si>
  <si>
    <t>Otra</t>
  </si>
  <si>
    <t>Sin objeción anotada</t>
  </si>
  <si>
    <t>Tiempo hasta la primera respuesta (consultas únicas)</t>
  </si>
  <si>
    <t>Consultas con minutos anotados</t>
  </si>
  <si>
    <t>Minutos sumados</t>
  </si>
  <si>
    <t>Promedio de minutos</t>
  </si>
  <si>
    <t>Antes de prometer un tiempo de respuesta, medilo aquí. Un promedio alto puede venir de mensajes de noche: revisá también el horario.</t>
  </si>
  <si>
    <t>Control del registro (todas las filas, sin filtro de fechas)</t>
  </si>
  <si>
    <t>Filas con fecha pero sin código de pieza</t>
  </si>
  <si>
    <t>Filas con código pero sin fecha (no entran al resumen)</t>
  </si>
  <si>
    <t>Cualificada = Sí sin zona GAM o Fuera de GAM</t>
  </si>
  <si>
    <t>Pedido confirmado = Sí sin Cualificada = Sí</t>
  </si>
  <si>
    <t>Cobrado = Sí sin Pedido confirmado = Sí</t>
  </si>
  <si>
    <t>Cobrado = Sí sin monto</t>
  </si>
  <si>
    <t>Monto anotado sin Cobrado = Sí</t>
  </si>
  <si>
    <t>Consultas marcadas como repetidas (no se cuentan en ningún total)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</si>
</sst>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"/>
    <numFmt numFmtId="165" formatCode="&quot;₡&quot;#,##0"/>
    <numFmt numFmtId="166" formatCode="0.0%"/>
    <numFmt numFmtId="167" formatCode="0;\-0;0"/>
    <numFmt numFmtId="168" formatCode="0.0"/>
  </numFmts>
  <fonts count="8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i/>
      <sz val="9"/>
      <color rgb="FF595959"/>
      <name val="Arial"/>
    </font>
    <font>
      <b/>
      <sz val="11"/>
      <color rgb="FF1F3864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b/>
      <sz val="10"/>
      <color rgb="FFC00000"/>
      <name val="Arial"/>
    </font>
  </fonts>
  <fills count="10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C7CE"/>
      </patternFill>
    </fill>
    <fill>
      <patternFill patternType="solid">
        <fgColor rgb="FF1F3864"/>
      </patternFill>
    </fill>
    <fill>
      <patternFill patternType="solid">
        <fgColor rgb="FF2F5597"/>
      </patternFill>
    </fill>
    <fill>
      <patternFill patternType="solid">
        <fgColor rgb="FFC00000"/>
      </patternFill>
    </fill>
    <fill>
      <patternFill patternType="solid">
        <fgColor rgb="FFBF8F00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top" wrapText="1"/>
    </xf>
    <xf numFmtId="164" fontId="5" fillId="2" borderId="1" xfId="0" applyNumberFormat="1" applyFont="1" applyFill="1" applyBorder="1" applyAlignment="1">
      <alignment vertical="top" wrapText="1"/>
    </xf>
    <xf numFmtId="165" fontId="5" fillId="2" borderId="1" xfId="0" applyNumberFormat="1" applyFont="1" applyFill="1" applyBorder="1" applyAlignment="1">
      <alignment vertical="top" wrapText="1"/>
    </xf>
    <xf numFmtId="1" fontId="5" fillId="2" borderId="1" xfId="0" applyNumberFormat="1" applyFont="1" applyFill="1" applyBorder="1" applyAlignment="1">
      <alignment vertical="top" wrapText="1"/>
    </xf>
    <xf numFmtId="0" fontId="7" fillId="0" borderId="0" xfId="0" applyFont="1"/>
    <xf numFmtId="1" fontId="5" fillId="3" borderId="1" xfId="0" applyNumberFormat="1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vertical="top"/>
    </xf>
    <xf numFmtId="0" fontId="5" fillId="2" borderId="1" xfId="0" applyFont="1" applyFill="1" applyBorder="1" applyAlignment="1">
      <alignment vertical="top"/>
    </xf>
    <xf numFmtId="165" fontId="5" fillId="2" borderId="1" xfId="0" applyNumberFormat="1" applyFont="1" applyFill="1" applyBorder="1" applyAlignment="1">
      <alignment vertical="top"/>
    </xf>
    <xf numFmtId="1" fontId="5" fillId="2" borderId="1" xfId="0" applyNumberFormat="1" applyFont="1" applyFill="1" applyBorder="1" applyAlignment="1">
      <alignment vertical="top"/>
    </xf>
    <xf numFmtId="0" fontId="4" fillId="0" borderId="1" xfId="0" applyFont="1" applyBorder="1"/>
    <xf numFmtId="164" fontId="5" fillId="2" borderId="1" xfId="0" applyNumberFormat="1" applyFont="1" applyFill="1" applyBorder="1"/>
    <xf numFmtId="0" fontId="6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" fontId="5" fillId="3" borderId="1" xfId="0" applyNumberFormat="1" applyFont="1" applyFill="1" applyBorder="1"/>
    <xf numFmtId="165" fontId="5" fillId="3" borderId="1" xfId="0" applyNumberFormat="1" applyFont="1" applyFill="1" applyBorder="1"/>
    <xf numFmtId="165" fontId="5" fillId="2" borderId="1" xfId="0" applyNumberFormat="1" applyFont="1" applyFill="1" applyBorder="1"/>
    <xf numFmtId="166" fontId="5" fillId="3" borderId="1" xfId="0" applyNumberFormat="1" applyFont="1" applyFill="1" applyBorder="1" applyAlignment="1">
      <alignment horizontal="right" vertical="center"/>
    </xf>
    <xf numFmtId="165" fontId="5" fillId="3" borderId="1" xfId="0" applyNumberFormat="1" applyFont="1" applyFill="1" applyBorder="1" applyAlignment="1">
      <alignment horizontal="right" vertical="center"/>
    </xf>
    <xf numFmtId="10" fontId="5" fillId="3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0" fontId="4" fillId="9" borderId="1" xfId="0" applyFont="1" applyFill="1" applyBorder="1"/>
    <xf numFmtId="1" fontId="4" fillId="9" borderId="1" xfId="0" applyNumberFormat="1" applyFont="1" applyFill="1" applyBorder="1"/>
    <xf numFmtId="165" fontId="4" fillId="9" borderId="1" xfId="0" applyNumberFormat="1" applyFont="1" applyFill="1" applyBorder="1"/>
    <xf numFmtId="165" fontId="4" fillId="9" borderId="1" xfId="0" applyNumberFormat="1" applyFont="1" applyFill="1" applyBorder="1" applyAlignment="1">
      <alignment horizontal="right" vertical="center"/>
    </xf>
    <xf numFmtId="166" fontId="4" fillId="9" borderId="1" xfId="0" applyNumberFormat="1" applyFont="1" applyFill="1" applyBorder="1" applyAlignment="1">
      <alignment horizontal="right" vertical="center"/>
    </xf>
    <xf numFmtId="10" fontId="4" fillId="9" borderId="1" xfId="0" applyNumberFormat="1" applyFont="1" applyFill="1" applyBorder="1" applyAlignment="1">
      <alignment horizontal="right" vertical="center"/>
    </xf>
    <xf numFmtId="3" fontId="5" fillId="2" borderId="1" xfId="0" applyNumberFormat="1" applyFont="1" applyFill="1" applyBorder="1"/>
    <xf numFmtId="3" fontId="4" fillId="3" borderId="1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right" vertical="center"/>
    </xf>
    <xf numFmtId="0" fontId="5" fillId="9" borderId="1" xfId="0" applyFont="1" applyFill="1" applyBorder="1"/>
    <xf numFmtId="167" fontId="4" fillId="9" borderId="1" xfId="0" applyNumberFormat="1" applyFont="1" applyFill="1" applyBorder="1"/>
    <xf numFmtId="168" fontId="5" fillId="3" borderId="1" xfId="0" applyNumberFormat="1" applyFont="1" applyFill="1" applyBorder="1" applyAlignment="1">
      <alignment horizontal="right" vertical="center"/>
    </xf>
    <xf numFmtId="168" fontId="4" fillId="9" borderId="1" xfId="0" applyNumberFormat="1" applyFont="1" applyFill="1" applyBorder="1" applyAlignment="1">
      <alignment horizontal="right" vertical="center"/>
    </xf>
    <xf numFmtId="1" fontId="4" fillId="3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6" fillId="5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top" wrapText="1"/>
    </xf>
    <xf numFmtId="0" fontId="0" fillId="0" borderId="0" xfId="0"/>
    <xf numFmtId="0" fontId="5" fillId="0" borderId="1" xfId="0" applyFont="1" applyBorder="1" applyAlignment="1">
      <alignment vertical="top" wrapText="1"/>
    </xf>
  </cellXfs>
  <cellStyles count="1">
    <cellStyle name="Normal" xfId="0" builtinId="0"/>
  </cellStyles>
  <dxfs count="7">
    <dxf>
      <fill>
        <patternFill patternType="solid">
          <fgColor rgb="FFFFC7CE"/>
        </patternFill>
      </fill>
    </dxf>
    <dxf>
      <font>
        <b/>
        <color rgb="FFC00000"/>
        <name val="Arial"/>
      </font>
      <fill>
        <patternFill patternType="solid">
          <fgColor rgb="FFFFC7CE"/>
        </patternFill>
      </fill>
    </dxf>
    <dxf>
      <font>
        <i/>
        <color rgb="FF808080"/>
        <name val="Arial"/>
      </font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48"/>
  <sheetViews>
    <sheetView showGridLines="0" tabSelected="1" workbookViewId="0"/>
  </sheetViews>
  <sheetFormatPr baseColWidth="10" defaultColWidth="9.140625" defaultRowHeight="15" x14ac:dyDescent="0.25"/>
  <cols>
    <col min="1" max="1" width="3" customWidth="1"/>
    <col min="2" max="2" width="26" customWidth="1"/>
    <col min="3" max="3" width="92" customWidth="1"/>
  </cols>
  <sheetData>
    <row r="1" spans="2:3" ht="18" x14ac:dyDescent="0.25">
      <c r="B1" s="1" t="s">
        <v>0</v>
      </c>
    </row>
    <row r="2" spans="2:3" x14ac:dyDescent="0.25">
      <c r="B2" s="2" t="s">
        <v>1</v>
      </c>
    </row>
    <row r="5" spans="2:3" x14ac:dyDescent="0.25">
      <c r="B5" s="3" t="s">
        <v>2</v>
      </c>
    </row>
    <row r="6" spans="2:3" x14ac:dyDescent="0.25">
      <c r="B6" s="4" t="s">
        <v>3</v>
      </c>
      <c r="C6" s="5" t="s">
        <v>4</v>
      </c>
    </row>
    <row r="7" spans="2:3" x14ac:dyDescent="0.25">
      <c r="B7" s="6" t="s">
        <v>5</v>
      </c>
      <c r="C7" s="5" t="s">
        <v>6</v>
      </c>
    </row>
    <row r="8" spans="2:3" x14ac:dyDescent="0.25">
      <c r="B8" s="7" t="s">
        <v>7</v>
      </c>
      <c r="C8" s="5" t="s">
        <v>8</v>
      </c>
    </row>
    <row r="10" spans="2:3" x14ac:dyDescent="0.25">
      <c r="B10" s="3" t="s">
        <v>9</v>
      </c>
    </row>
    <row r="11" spans="2:3" ht="25.5" x14ac:dyDescent="0.25">
      <c r="B11" s="8" t="s">
        <v>10</v>
      </c>
      <c r="C11" s="5" t="s">
        <v>11</v>
      </c>
    </row>
    <row r="12" spans="2:3" ht="25.5" x14ac:dyDescent="0.25">
      <c r="B12" s="8" t="s">
        <v>12</v>
      </c>
      <c r="C12" s="5" t="s">
        <v>13</v>
      </c>
    </row>
    <row r="13" spans="2:3" ht="38.25" x14ac:dyDescent="0.25">
      <c r="B13" s="8" t="s">
        <v>14</v>
      </c>
      <c r="C13" s="5" t="s">
        <v>15</v>
      </c>
    </row>
    <row r="15" spans="2:3" x14ac:dyDescent="0.25">
      <c r="B15" s="3" t="s">
        <v>16</v>
      </c>
    </row>
    <row r="16" spans="2:3" x14ac:dyDescent="0.25">
      <c r="B16" s="8" t="s">
        <v>17</v>
      </c>
      <c r="C16" s="5" t="s">
        <v>18</v>
      </c>
    </row>
    <row r="17" spans="2:3" x14ac:dyDescent="0.25">
      <c r="B17" s="8" t="s">
        <v>19</v>
      </c>
      <c r="C17" s="5" t="s">
        <v>20</v>
      </c>
    </row>
    <row r="18" spans="2:3" x14ac:dyDescent="0.25">
      <c r="B18" s="8" t="s">
        <v>21</v>
      </c>
      <c r="C18" s="5" t="s">
        <v>22</v>
      </c>
    </row>
    <row r="19" spans="2:3" x14ac:dyDescent="0.25">
      <c r="B19" s="8" t="s">
        <v>23</v>
      </c>
      <c r="C19" s="5" t="s">
        <v>24</v>
      </c>
    </row>
    <row r="20" spans="2:3" ht="25.5" x14ac:dyDescent="0.25">
      <c r="B20" s="8" t="s">
        <v>25</v>
      </c>
      <c r="C20" s="5" t="s">
        <v>26</v>
      </c>
    </row>
    <row r="22" spans="2:3" x14ac:dyDescent="0.25">
      <c r="B22" s="3" t="s">
        <v>27</v>
      </c>
    </row>
    <row r="23" spans="2:3" ht="25.5" x14ac:dyDescent="0.25">
      <c r="B23" s="8" t="s">
        <v>28</v>
      </c>
      <c r="C23" s="5" t="s">
        <v>29</v>
      </c>
    </row>
    <row r="24" spans="2:3" ht="38.25" x14ac:dyDescent="0.25">
      <c r="B24" s="8" t="s">
        <v>30</v>
      </c>
      <c r="C24" s="5" t="s">
        <v>31</v>
      </c>
    </row>
    <row r="25" spans="2:3" ht="25.5" x14ac:dyDescent="0.25">
      <c r="B25" s="8" t="s">
        <v>32</v>
      </c>
      <c r="C25" s="5" t="s">
        <v>33</v>
      </c>
    </row>
    <row r="27" spans="2:3" x14ac:dyDescent="0.25">
      <c r="B27" s="3" t="s">
        <v>34</v>
      </c>
    </row>
    <row r="28" spans="2:3" ht="25.5" x14ac:dyDescent="0.25">
      <c r="B28" s="8" t="s">
        <v>35</v>
      </c>
      <c r="C28" s="5" t="s">
        <v>36</v>
      </c>
    </row>
    <row r="30" spans="2:3" x14ac:dyDescent="0.25">
      <c r="B30" s="3" t="s">
        <v>37</v>
      </c>
    </row>
    <row r="31" spans="2:3" ht="25.5" x14ac:dyDescent="0.25">
      <c r="B31" s="8" t="s">
        <v>38</v>
      </c>
      <c r="C31" s="5" t="s">
        <v>39</v>
      </c>
    </row>
    <row r="32" spans="2:3" x14ac:dyDescent="0.25">
      <c r="B32" s="8" t="s">
        <v>40</v>
      </c>
      <c r="C32" s="5" t="s">
        <v>41</v>
      </c>
    </row>
    <row r="33" spans="2:3" x14ac:dyDescent="0.25">
      <c r="B33" s="8" t="s">
        <v>42</v>
      </c>
      <c r="C33" s="5" t="s">
        <v>43</v>
      </c>
    </row>
    <row r="34" spans="2:3" x14ac:dyDescent="0.25">
      <c r="B34" s="8" t="s">
        <v>44</v>
      </c>
      <c r="C34" s="5" t="s">
        <v>45</v>
      </c>
    </row>
    <row r="35" spans="2:3" x14ac:dyDescent="0.25">
      <c r="B35" s="8" t="s">
        <v>46</v>
      </c>
      <c r="C35" s="5" t="s">
        <v>47</v>
      </c>
    </row>
    <row r="36" spans="2:3" ht="25.5" x14ac:dyDescent="0.25">
      <c r="B36" s="8" t="s">
        <v>48</v>
      </c>
      <c r="C36" s="5" t="s">
        <v>49</v>
      </c>
    </row>
    <row r="38" spans="2:3" x14ac:dyDescent="0.25">
      <c r="B38" s="3" t="s">
        <v>50</v>
      </c>
    </row>
    <row r="39" spans="2:3" x14ac:dyDescent="0.25">
      <c r="B39" s="8" t="s">
        <v>51</v>
      </c>
      <c r="C39" s="5" t="s">
        <v>52</v>
      </c>
    </row>
    <row r="40" spans="2:3" x14ac:dyDescent="0.25">
      <c r="B40" s="8" t="s">
        <v>53</v>
      </c>
      <c r="C40" s="5" t="s">
        <v>54</v>
      </c>
    </row>
    <row r="41" spans="2:3" ht="38.25" x14ac:dyDescent="0.25">
      <c r="B41" s="8" t="s">
        <v>55</v>
      </c>
      <c r="C41" s="5" t="s">
        <v>56</v>
      </c>
    </row>
    <row r="42" spans="2:3" ht="25.5" x14ac:dyDescent="0.25">
      <c r="B42" s="8" t="s">
        <v>57</v>
      </c>
      <c r="C42" s="5" t="s">
        <v>58</v>
      </c>
    </row>
    <row r="43" spans="2:3" ht="25.5" x14ac:dyDescent="0.25">
      <c r="B43" s="8" t="s">
        <v>59</v>
      </c>
      <c r="C43" s="5" t="s">
        <v>60</v>
      </c>
    </row>
    <row r="45" spans="2:3" x14ac:dyDescent="0.25">
      <c r="B45" s="3" t="s">
        <v>61</v>
      </c>
    </row>
    <row r="46" spans="2:3" x14ac:dyDescent="0.25">
      <c r="B46" s="8" t="s">
        <v>62</v>
      </c>
      <c r="C46" s="5" t="s">
        <v>63</v>
      </c>
    </row>
    <row r="47" spans="2:3" x14ac:dyDescent="0.25">
      <c r="B47" s="8" t="s">
        <v>64</v>
      </c>
      <c r="C47" s="5" t="s">
        <v>65</v>
      </c>
    </row>
    <row r="48" spans="2:3" x14ac:dyDescent="0.25">
      <c r="B48" s="8" t="s">
        <v>66</v>
      </c>
      <c r="C48" s="5" t="s">
        <v>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7"/>
  <sheetViews>
    <sheetView workbookViewId="0">
      <pane xSplit="4" ySplit="2" topLeftCell="E3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9" customWidth="1"/>
    <col min="2" max="2" width="30" customWidth="1"/>
    <col min="3" max="3" width="24" customWidth="1"/>
    <col min="4" max="4" width="11" customWidth="1"/>
    <col min="5" max="5" width="22" customWidth="1"/>
    <col min="6" max="6" width="28" customWidth="1"/>
    <col min="7" max="8" width="12" customWidth="1"/>
    <col min="9" max="9" width="22" customWidth="1"/>
    <col min="10" max="10" width="28" customWidth="1"/>
    <col min="11" max="12" width="12" customWidth="1"/>
    <col min="13" max="13" width="22" customWidth="1"/>
    <col min="14" max="14" width="28" customWidth="1"/>
    <col min="15" max="16" width="12" customWidth="1"/>
    <col min="17" max="17" width="22" customWidth="1"/>
    <col min="18" max="18" width="28" customWidth="1"/>
    <col min="19" max="20" width="12" customWidth="1"/>
    <col min="21" max="21" width="22" customWidth="1"/>
    <col min="22" max="22" width="28" customWidth="1"/>
    <col min="23" max="24" width="12" customWidth="1"/>
    <col min="25" max="25" width="22" customWidth="1"/>
    <col min="26" max="26" width="28" customWidth="1"/>
    <col min="27" max="28" width="12" customWidth="1"/>
    <col min="29" max="29" width="22" customWidth="1"/>
    <col min="30" max="30" width="28" customWidth="1"/>
    <col min="31" max="32" width="12" customWidth="1"/>
    <col min="33" max="33" width="22" customWidth="1"/>
    <col min="34" max="34" width="28" customWidth="1"/>
    <col min="35" max="36" width="12" customWidth="1"/>
    <col min="37" max="37" width="22" customWidth="1"/>
    <col min="38" max="38" width="28" customWidth="1"/>
    <col min="39" max="40" width="12" customWidth="1"/>
    <col min="41" max="41" width="22" customWidth="1"/>
    <col min="42" max="42" width="28" customWidth="1"/>
    <col min="43" max="44" width="12" customWidth="1"/>
    <col min="45" max="45" width="22" customWidth="1"/>
    <col min="46" max="46" width="28" customWidth="1"/>
    <col min="47" max="48" width="12" customWidth="1"/>
    <col min="49" max="49" width="22" customWidth="1"/>
    <col min="50" max="50" width="28" customWidth="1"/>
    <col min="51" max="52" width="12" customWidth="1"/>
    <col min="53" max="53" width="22" customWidth="1"/>
    <col min="54" max="54" width="28" customWidth="1"/>
    <col min="55" max="56" width="12" customWidth="1"/>
    <col min="57" max="57" width="22" customWidth="1"/>
    <col min="58" max="58" width="28" customWidth="1"/>
    <col min="59" max="60" width="12" customWidth="1"/>
    <col min="61" max="61" width="22" customWidth="1"/>
    <col min="62" max="62" width="28" customWidth="1"/>
    <col min="63" max="64" width="12" customWidth="1"/>
    <col min="65" max="65" width="22" customWidth="1"/>
    <col min="66" max="66" width="28" customWidth="1"/>
    <col min="67" max="68" width="12" customWidth="1"/>
  </cols>
  <sheetData>
    <row r="1" spans="1:68" ht="42" customHeight="1" x14ac:dyDescent="0.25">
      <c r="A1" s="53" t="s">
        <v>68</v>
      </c>
      <c r="B1" s="53" t="s">
        <v>69</v>
      </c>
      <c r="C1" s="53" t="s">
        <v>70</v>
      </c>
      <c r="D1" s="53" t="s">
        <v>71</v>
      </c>
      <c r="E1" s="53" t="s">
        <v>72</v>
      </c>
      <c r="F1" s="52"/>
      <c r="G1" s="52"/>
      <c r="H1" s="52"/>
      <c r="I1" s="51" t="s">
        <v>73</v>
      </c>
      <c r="J1" s="52"/>
      <c r="K1" s="52"/>
      <c r="L1" s="52"/>
      <c r="M1" s="53" t="s">
        <v>74</v>
      </c>
      <c r="N1" s="52"/>
      <c r="O1" s="52"/>
      <c r="P1" s="52"/>
      <c r="Q1" s="51" t="s">
        <v>75</v>
      </c>
      <c r="R1" s="52"/>
      <c r="S1" s="52"/>
      <c r="T1" s="52"/>
      <c r="U1" s="54" t="s">
        <v>76</v>
      </c>
      <c r="V1" s="52"/>
      <c r="W1" s="52"/>
      <c r="X1" s="52"/>
      <c r="Y1" s="51" t="s">
        <v>77</v>
      </c>
      <c r="Z1" s="52"/>
      <c r="AA1" s="52"/>
      <c r="AB1" s="52"/>
      <c r="AC1" s="53" t="s">
        <v>78</v>
      </c>
      <c r="AD1" s="52"/>
      <c r="AE1" s="52"/>
      <c r="AF1" s="52"/>
      <c r="AG1" s="51" t="s">
        <v>79</v>
      </c>
      <c r="AH1" s="52"/>
      <c r="AI1" s="52"/>
      <c r="AJ1" s="52"/>
      <c r="AK1" s="53" t="s">
        <v>80</v>
      </c>
      <c r="AL1" s="52"/>
      <c r="AM1" s="52"/>
      <c r="AN1" s="52"/>
      <c r="AO1" s="51" t="s">
        <v>81</v>
      </c>
      <c r="AP1" s="52"/>
      <c r="AQ1" s="52"/>
      <c r="AR1" s="52"/>
      <c r="AS1" s="53" t="s">
        <v>82</v>
      </c>
      <c r="AT1" s="52"/>
      <c r="AU1" s="52"/>
      <c r="AV1" s="52"/>
      <c r="AW1" s="51" t="s">
        <v>83</v>
      </c>
      <c r="AX1" s="52"/>
      <c r="AY1" s="52"/>
      <c r="AZ1" s="52"/>
      <c r="BA1" s="53" t="s">
        <v>84</v>
      </c>
      <c r="BB1" s="52"/>
      <c r="BC1" s="52"/>
      <c r="BD1" s="52"/>
      <c r="BE1" s="51" t="s">
        <v>85</v>
      </c>
      <c r="BF1" s="52"/>
      <c r="BG1" s="52"/>
      <c r="BH1" s="52"/>
      <c r="BI1" s="53" t="s">
        <v>86</v>
      </c>
      <c r="BJ1" s="52"/>
      <c r="BK1" s="52"/>
      <c r="BL1" s="52"/>
      <c r="BM1" s="51" t="s">
        <v>87</v>
      </c>
      <c r="BN1" s="52"/>
      <c r="BO1" s="52"/>
      <c r="BP1" s="52"/>
    </row>
    <row r="2" spans="1:68" ht="30" customHeight="1" x14ac:dyDescent="0.25">
      <c r="A2" s="52"/>
      <c r="B2" s="52"/>
      <c r="C2" s="52"/>
      <c r="D2" s="52"/>
      <c r="E2" s="9" t="s">
        <v>88</v>
      </c>
      <c r="F2" s="9" t="s">
        <v>89</v>
      </c>
      <c r="G2" s="9" t="s">
        <v>90</v>
      </c>
      <c r="H2" s="9" t="s">
        <v>91</v>
      </c>
      <c r="I2" s="10" t="s">
        <v>88</v>
      </c>
      <c r="J2" s="10" t="s">
        <v>89</v>
      </c>
      <c r="K2" s="10" t="s">
        <v>90</v>
      </c>
      <c r="L2" s="10" t="s">
        <v>91</v>
      </c>
      <c r="M2" s="9" t="s">
        <v>88</v>
      </c>
      <c r="N2" s="9" t="s">
        <v>89</v>
      </c>
      <c r="O2" s="9" t="s">
        <v>90</v>
      </c>
      <c r="P2" s="9" t="s">
        <v>91</v>
      </c>
      <c r="Q2" s="10" t="s">
        <v>88</v>
      </c>
      <c r="R2" s="10" t="s">
        <v>89</v>
      </c>
      <c r="S2" s="10" t="s">
        <v>90</v>
      </c>
      <c r="T2" s="10" t="s">
        <v>91</v>
      </c>
      <c r="U2" s="11" t="s">
        <v>88</v>
      </c>
      <c r="V2" s="11" t="s">
        <v>89</v>
      </c>
      <c r="W2" s="11" t="s">
        <v>90</v>
      </c>
      <c r="X2" s="11" t="s">
        <v>91</v>
      </c>
      <c r="Y2" s="10" t="s">
        <v>88</v>
      </c>
      <c r="Z2" s="10" t="s">
        <v>89</v>
      </c>
      <c r="AA2" s="10" t="s">
        <v>90</v>
      </c>
      <c r="AB2" s="10" t="s">
        <v>91</v>
      </c>
      <c r="AC2" s="9" t="s">
        <v>88</v>
      </c>
      <c r="AD2" s="9" t="s">
        <v>89</v>
      </c>
      <c r="AE2" s="9" t="s">
        <v>90</v>
      </c>
      <c r="AF2" s="9" t="s">
        <v>91</v>
      </c>
      <c r="AG2" s="10" t="s">
        <v>88</v>
      </c>
      <c r="AH2" s="10" t="s">
        <v>89</v>
      </c>
      <c r="AI2" s="10" t="s">
        <v>90</v>
      </c>
      <c r="AJ2" s="10" t="s">
        <v>91</v>
      </c>
      <c r="AK2" s="9" t="s">
        <v>88</v>
      </c>
      <c r="AL2" s="9" t="s">
        <v>89</v>
      </c>
      <c r="AM2" s="9" t="s">
        <v>90</v>
      </c>
      <c r="AN2" s="9" t="s">
        <v>91</v>
      </c>
      <c r="AO2" s="10" t="s">
        <v>88</v>
      </c>
      <c r="AP2" s="10" t="s">
        <v>89</v>
      </c>
      <c r="AQ2" s="10" t="s">
        <v>90</v>
      </c>
      <c r="AR2" s="10" t="s">
        <v>91</v>
      </c>
      <c r="AS2" s="9" t="s">
        <v>88</v>
      </c>
      <c r="AT2" s="9" t="s">
        <v>89</v>
      </c>
      <c r="AU2" s="9" t="s">
        <v>90</v>
      </c>
      <c r="AV2" s="9" t="s">
        <v>91</v>
      </c>
      <c r="AW2" s="10" t="s">
        <v>88</v>
      </c>
      <c r="AX2" s="10" t="s">
        <v>89</v>
      </c>
      <c r="AY2" s="10" t="s">
        <v>90</v>
      </c>
      <c r="AZ2" s="10" t="s">
        <v>91</v>
      </c>
      <c r="BA2" s="9" t="s">
        <v>88</v>
      </c>
      <c r="BB2" s="9" t="s">
        <v>89</v>
      </c>
      <c r="BC2" s="9" t="s">
        <v>90</v>
      </c>
      <c r="BD2" s="9" t="s">
        <v>91</v>
      </c>
      <c r="BE2" s="10" t="s">
        <v>88</v>
      </c>
      <c r="BF2" s="10" t="s">
        <v>89</v>
      </c>
      <c r="BG2" s="10" t="s">
        <v>90</v>
      </c>
      <c r="BH2" s="10" t="s">
        <v>91</v>
      </c>
      <c r="BI2" s="9" t="s">
        <v>88</v>
      </c>
      <c r="BJ2" s="9" t="s">
        <v>89</v>
      </c>
      <c r="BK2" s="9" t="s">
        <v>90</v>
      </c>
      <c r="BL2" s="9" t="s">
        <v>91</v>
      </c>
      <c r="BM2" s="10" t="s">
        <v>88</v>
      </c>
      <c r="BN2" s="10" t="s">
        <v>89</v>
      </c>
      <c r="BO2" s="10" t="s">
        <v>90</v>
      </c>
      <c r="BP2" s="10" t="s">
        <v>91</v>
      </c>
    </row>
    <row r="3" spans="1:68" ht="48" customHeight="1" x14ac:dyDescent="0.25">
      <c r="A3" s="12" t="s">
        <v>92</v>
      </c>
      <c r="B3" s="13" t="s">
        <v>93</v>
      </c>
      <c r="C3" s="12" t="str">
        <f>IF(D3=16,"COMPLETA","INCOMPLETA: faltan "&amp;(16-D3)&amp;" campos")</f>
        <v>INCOMPLETA: faltan 16 campos</v>
      </c>
      <c r="D3" s="14">
        <f>SUMPRODUCT((MOD(COLUMN(E3:BP3)-COLUMN($E$3),4)=3)*((E3:BP3="Sí")+(E3:BP3="No aplica")))</f>
        <v>0</v>
      </c>
      <c r="E3" s="15"/>
      <c r="F3" s="15"/>
      <c r="G3" s="16"/>
      <c r="H3" s="15"/>
      <c r="I3" s="15"/>
      <c r="J3" s="15"/>
      <c r="K3" s="16"/>
      <c r="L3" s="15"/>
      <c r="M3" s="15"/>
      <c r="N3" s="15"/>
      <c r="O3" s="16"/>
      <c r="P3" s="15"/>
      <c r="Q3" s="17"/>
      <c r="R3" s="15"/>
      <c r="S3" s="16"/>
      <c r="T3" s="15"/>
      <c r="U3" s="17"/>
      <c r="V3" s="15"/>
      <c r="W3" s="16"/>
      <c r="X3" s="15"/>
      <c r="Y3" s="18"/>
      <c r="Z3" s="15"/>
      <c r="AA3" s="16"/>
      <c r="AB3" s="15"/>
      <c r="AC3" s="15"/>
      <c r="AD3" s="15"/>
      <c r="AE3" s="16"/>
      <c r="AF3" s="15"/>
      <c r="AG3" s="15"/>
      <c r="AH3" s="15"/>
      <c r="AI3" s="16"/>
      <c r="AJ3" s="15"/>
      <c r="AK3" s="15"/>
      <c r="AL3" s="15"/>
      <c r="AM3" s="16"/>
      <c r="AN3" s="15"/>
      <c r="AO3" s="15"/>
      <c r="AP3" s="15"/>
      <c r="AQ3" s="16"/>
      <c r="AR3" s="15"/>
      <c r="AS3" s="15"/>
      <c r="AT3" s="15"/>
      <c r="AU3" s="16"/>
      <c r="AV3" s="15"/>
      <c r="AW3" s="17"/>
      <c r="AX3" s="15"/>
      <c r="AY3" s="16"/>
      <c r="AZ3" s="15"/>
      <c r="BA3" s="15"/>
      <c r="BB3" s="15"/>
      <c r="BC3" s="16"/>
      <c r="BD3" s="15"/>
      <c r="BE3" s="15"/>
      <c r="BF3" s="15"/>
      <c r="BG3" s="16"/>
      <c r="BH3" s="15"/>
      <c r="BI3" s="15"/>
      <c r="BJ3" s="15"/>
      <c r="BK3" s="16"/>
      <c r="BL3" s="15"/>
      <c r="BM3" s="15"/>
      <c r="BN3" s="15"/>
      <c r="BO3" s="16"/>
      <c r="BP3" s="15"/>
    </row>
    <row r="4" spans="1:68" ht="48" customHeight="1" x14ac:dyDescent="0.25">
      <c r="A4" s="12" t="s">
        <v>94</v>
      </c>
      <c r="B4" s="13" t="s">
        <v>95</v>
      </c>
      <c r="C4" s="12" t="str">
        <f>IF(D4=16,"COMPLETA","INCOMPLETA: faltan "&amp;(16-D4)&amp;" campos")</f>
        <v>INCOMPLETA: faltan 16 campos</v>
      </c>
      <c r="D4" s="14">
        <f>SUMPRODUCT((MOD(COLUMN(E4:BP4)-COLUMN($E$4),4)=3)*((E4:BP4="Sí")+(E4:BP4="No aplica")))</f>
        <v>0</v>
      </c>
      <c r="E4" s="15"/>
      <c r="F4" s="15"/>
      <c r="G4" s="16"/>
      <c r="H4" s="15"/>
      <c r="I4" s="15"/>
      <c r="J4" s="15"/>
      <c r="K4" s="16"/>
      <c r="L4" s="15"/>
      <c r="M4" s="15"/>
      <c r="N4" s="15"/>
      <c r="O4" s="16"/>
      <c r="P4" s="15"/>
      <c r="Q4" s="17"/>
      <c r="R4" s="15"/>
      <c r="S4" s="16"/>
      <c r="T4" s="15"/>
      <c r="U4" s="17"/>
      <c r="V4" s="15"/>
      <c r="W4" s="16"/>
      <c r="X4" s="15"/>
      <c r="Y4" s="18"/>
      <c r="Z4" s="15"/>
      <c r="AA4" s="16"/>
      <c r="AB4" s="15"/>
      <c r="AC4" s="15"/>
      <c r="AD4" s="15"/>
      <c r="AE4" s="16"/>
      <c r="AF4" s="15"/>
      <c r="AG4" s="15"/>
      <c r="AH4" s="15"/>
      <c r="AI4" s="16"/>
      <c r="AJ4" s="15"/>
      <c r="AK4" s="15"/>
      <c r="AL4" s="15"/>
      <c r="AM4" s="16"/>
      <c r="AN4" s="15"/>
      <c r="AO4" s="15"/>
      <c r="AP4" s="15"/>
      <c r="AQ4" s="16"/>
      <c r="AR4" s="15"/>
      <c r="AS4" s="15"/>
      <c r="AT4" s="15"/>
      <c r="AU4" s="16"/>
      <c r="AV4" s="15"/>
      <c r="AW4" s="17"/>
      <c r="AX4" s="15"/>
      <c r="AY4" s="16"/>
      <c r="AZ4" s="15"/>
      <c r="BA4" s="15"/>
      <c r="BB4" s="15"/>
      <c r="BC4" s="16"/>
      <c r="BD4" s="15"/>
      <c r="BE4" s="15"/>
      <c r="BF4" s="15"/>
      <c r="BG4" s="16"/>
      <c r="BH4" s="15"/>
      <c r="BI4" s="15"/>
      <c r="BJ4" s="15"/>
      <c r="BK4" s="16"/>
      <c r="BL4" s="15"/>
      <c r="BM4" s="15"/>
      <c r="BN4" s="15"/>
      <c r="BO4" s="16"/>
      <c r="BP4" s="15"/>
    </row>
    <row r="5" spans="1:68" ht="48" customHeight="1" x14ac:dyDescent="0.25">
      <c r="A5" s="12" t="s">
        <v>96</v>
      </c>
      <c r="B5" s="13" t="s">
        <v>97</v>
      </c>
      <c r="C5" s="12" t="str">
        <f>IF(D5=16,"COMPLETA","INCOMPLETA: faltan "&amp;(16-D5)&amp;" campos")</f>
        <v>INCOMPLETA: faltan 16 campos</v>
      </c>
      <c r="D5" s="14">
        <f>SUMPRODUCT((MOD(COLUMN(E5:BP5)-COLUMN($E$5),4)=3)*((E5:BP5="Sí")+(E5:BP5="No aplica")))</f>
        <v>0</v>
      </c>
      <c r="E5" s="15"/>
      <c r="F5" s="15"/>
      <c r="G5" s="16"/>
      <c r="H5" s="15"/>
      <c r="I5" s="15"/>
      <c r="J5" s="15"/>
      <c r="K5" s="16"/>
      <c r="L5" s="15"/>
      <c r="M5" s="15"/>
      <c r="N5" s="15"/>
      <c r="O5" s="16"/>
      <c r="P5" s="15"/>
      <c r="Q5" s="17"/>
      <c r="R5" s="15"/>
      <c r="S5" s="16"/>
      <c r="T5" s="15"/>
      <c r="U5" s="17"/>
      <c r="V5" s="15"/>
      <c r="W5" s="16"/>
      <c r="X5" s="15"/>
      <c r="Y5" s="18"/>
      <c r="Z5" s="15"/>
      <c r="AA5" s="16"/>
      <c r="AB5" s="15"/>
      <c r="AC5" s="15"/>
      <c r="AD5" s="15"/>
      <c r="AE5" s="16"/>
      <c r="AF5" s="15"/>
      <c r="AG5" s="15"/>
      <c r="AH5" s="15"/>
      <c r="AI5" s="16"/>
      <c r="AJ5" s="15"/>
      <c r="AK5" s="15"/>
      <c r="AL5" s="15"/>
      <c r="AM5" s="16"/>
      <c r="AN5" s="15"/>
      <c r="AO5" s="15"/>
      <c r="AP5" s="15"/>
      <c r="AQ5" s="16"/>
      <c r="AR5" s="15"/>
      <c r="AS5" s="15"/>
      <c r="AT5" s="15"/>
      <c r="AU5" s="16"/>
      <c r="AV5" s="15"/>
      <c r="AW5" s="17"/>
      <c r="AX5" s="15"/>
      <c r="AY5" s="16"/>
      <c r="AZ5" s="15"/>
      <c r="BA5" s="15"/>
      <c r="BB5" s="15"/>
      <c r="BC5" s="16"/>
      <c r="BD5" s="15"/>
      <c r="BE5" s="15"/>
      <c r="BF5" s="15"/>
      <c r="BG5" s="16"/>
      <c r="BH5" s="15"/>
      <c r="BI5" s="15"/>
      <c r="BJ5" s="15"/>
      <c r="BK5" s="16"/>
      <c r="BL5" s="15"/>
      <c r="BM5" s="15"/>
      <c r="BN5" s="15"/>
      <c r="BO5" s="16"/>
      <c r="BP5" s="15"/>
    </row>
    <row r="7" spans="1:68" x14ac:dyDescent="0.25">
      <c r="A7" s="19" t="s">
        <v>98</v>
      </c>
    </row>
  </sheetData>
  <mergeCells count="20">
    <mergeCell ref="A1:A2"/>
    <mergeCell ref="BM1:BP1"/>
    <mergeCell ref="Q1:T1"/>
    <mergeCell ref="D1:D2"/>
    <mergeCell ref="AK1:AN1"/>
    <mergeCell ref="AC1:AF1"/>
    <mergeCell ref="AO1:AR1"/>
    <mergeCell ref="B1:B2"/>
    <mergeCell ref="AG1:AJ1"/>
    <mergeCell ref="AS1:AV1"/>
    <mergeCell ref="M1:P1"/>
    <mergeCell ref="E1:H1"/>
    <mergeCell ref="Y1:AB1"/>
    <mergeCell ref="AW1:AZ1"/>
    <mergeCell ref="I1:L1"/>
    <mergeCell ref="C1:C2"/>
    <mergeCell ref="BA1:BD1"/>
    <mergeCell ref="BI1:BL1"/>
    <mergeCell ref="U1:X1"/>
    <mergeCell ref="BE1:BH1"/>
  </mergeCells>
  <conditionalFormatting sqref="C3:C5">
    <cfRule type="expression" dxfId="6" priority="3">
      <formula>$D3=16</formula>
    </cfRule>
  </conditionalFormatting>
  <conditionalFormatting sqref="H3:H5 L3:L5 P3:P5 T3:T5 X3:X5 AB3:AB5 AF3:AF5 AJ3:AJ5 AN3:AN5 AR3:AR5 AV3:AV5 AZ3:AZ5 BD3:BD5 BH3:BH5 BL3:BL5 BP3:BP5">
    <cfRule type="expression" dxfId="5" priority="1">
      <formula>H3="Sí"</formula>
    </cfRule>
    <cfRule type="expression" dxfId="4" priority="2">
      <formula>H3="No"</formula>
    </cfRule>
  </conditionalFormatting>
  <dataValidations count="5">
    <dataValidation type="list" allowBlank="1" showInputMessage="1" showErrorMessage="1" errorTitle="Valor no válido" error="Elegí Sí, No o No aplica de la lista." promptTitle="¿Verificado?" prompt="Sí solo si lo comprobaste con una fuente (factura, prueba propia, documento del proveedor). No aplica: solo si el campo no corresponde a ese producto (ej.: permisos de gameplay en audífonos)." sqref="H3:H5 L3:L5 P3:P5 T3:T5 X3:X5 AB3:AB5 AF3:AF5 AJ3:AJ5 AN3:AN5 AR3:AR5 AV3:AV5 AZ3:AZ5 BD3:BD5 BH3:BH5 BL3:BL5 BP3:BP5" xr:uid="{00000000-0002-0000-0100-000000000000}">
      <formula1>"Sí,No,No aplica"</formula1>
    </dataValidation>
    <dataValidation type="date" allowBlank="1" showInputMessage="1" showErrorMessage="1" errorTitle="Fecha no válida" error="Escribí la fecha como dd/mm/aaaa." promptTitle="Fecha de comprobación" prompt="Día en que comprobaste este dato (dd/mm/aaaa)." sqref="G3:G5 K3:K5 O3:O5 S3:S5 W3:W5 AA3:AA5 AE3:AE5 AI3:AI5 AM3:AM5 AQ3:AQ5 AU3:AU5 AY3:AY5 BC3:BC5 BG3:BG5 BK3:BK5 BO3:BO5" xr:uid="{00000000-0002-0000-0100-000001000000}">
      <formula1>DATE(2026,1,1)</formula1>
      <formula2>DATE(2030,12,31)</formula2>
    </dataValidation>
    <dataValidation type="list" allowBlank="1" showInputMessage="1" showErrorMessage="1" errorTitle="Valor no válido" error="Elegí Sí o No." promptTitle="Foto o video propio" prompt="Sí si tenés fotos o video grabados por ustedes de ESTE producto. No usar fotos de terceros." sqref="M3:M5" xr:uid="{00000000-0002-0000-0100-000002000000}">
      <formula1>"Sí,No"</formula1>
    </dataValidation>
    <dataValidation type="decimal" operator="greaterThanOrEqual" allowBlank="1" showInputMessage="1" showErrorMessage="1" errorTitle="Monto no válido" error="Solo números en colones, sin ₡ ni puntos de texto." promptTitle="Monto en colones" prompt="Solo el número en colones (el formato pone ₡)." sqref="Q3:Q5 U3:U5" xr:uid="{00000000-0002-0000-0100-000003000000}">
      <formula1>0</formula1>
    </dataValidation>
    <dataValidation type="whole" operator="greaterThanOrEqual" allowBlank="1" showErrorMessage="1" errorTitle="Stock no válido" error="Número entero de unidades." sqref="Y3:Y5" xr:uid="{00000000-0002-0000-0100-000004000000}">
      <formula1>0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9" customWidth="1"/>
    <col min="2" max="2" width="12" customWidth="1"/>
    <col min="3" max="3" width="16" customWidth="1"/>
    <col min="4" max="4" width="13" customWidth="1"/>
    <col min="5" max="5" width="18" customWidth="1"/>
    <col min="6" max="6" width="13" customWidth="1"/>
    <col min="7" max="8" width="11" customWidth="1"/>
    <col min="9" max="9" width="10" customWidth="1"/>
    <col min="10" max="10" width="11" customWidth="1"/>
    <col min="11" max="11" width="10" customWidth="1"/>
    <col min="12" max="12" width="14" customWidth="1"/>
    <col min="13" max="13" width="13" customWidth="1"/>
    <col min="14" max="14" width="15" customWidth="1"/>
    <col min="15" max="15" width="42" customWidth="1"/>
  </cols>
  <sheetData>
    <row r="1" spans="1:15" ht="44.1" customHeight="1" x14ac:dyDescent="0.25">
      <c r="A1" s="9" t="s">
        <v>99</v>
      </c>
      <c r="B1" s="9" t="s">
        <v>90</v>
      </c>
      <c r="C1" s="9" t="s">
        <v>100</v>
      </c>
      <c r="D1" s="9" t="s">
        <v>101</v>
      </c>
      <c r="E1" s="9" t="s">
        <v>102</v>
      </c>
      <c r="F1" s="9" t="s">
        <v>103</v>
      </c>
      <c r="G1" s="9" t="s">
        <v>104</v>
      </c>
      <c r="H1" s="9" t="s">
        <v>105</v>
      </c>
      <c r="I1" s="9" t="s">
        <v>42</v>
      </c>
      <c r="J1" s="9" t="s">
        <v>44</v>
      </c>
      <c r="K1" s="9" t="s">
        <v>46</v>
      </c>
      <c r="L1" s="9" t="s">
        <v>106</v>
      </c>
      <c r="M1" s="9" t="s">
        <v>107</v>
      </c>
      <c r="N1" s="9" t="s">
        <v>108</v>
      </c>
      <c r="O1" s="9" t="s">
        <v>109</v>
      </c>
    </row>
    <row r="2" spans="1:15" x14ac:dyDescent="0.25">
      <c r="A2" s="20" t="str">
        <f t="shared" ref="A2:A65" si="0">IF(AND(B2="",D2=""),"",ROW()-1)</f>
        <v/>
      </c>
      <c r="B2" s="21"/>
      <c r="C2" s="22"/>
      <c r="D2" s="22"/>
      <c r="E2" s="22"/>
      <c r="F2" s="22"/>
      <c r="G2" s="22"/>
      <c r="H2" s="22"/>
      <c r="I2" s="22"/>
      <c r="J2" s="22"/>
      <c r="K2" s="22"/>
      <c r="L2" s="23"/>
      <c r="M2" s="24"/>
      <c r="N2" s="22"/>
      <c r="O2" s="15"/>
    </row>
    <row r="3" spans="1:15" x14ac:dyDescent="0.25">
      <c r="A3" s="20" t="str">
        <f t="shared" si="0"/>
        <v/>
      </c>
      <c r="B3" s="21"/>
      <c r="C3" s="22"/>
      <c r="D3" s="22"/>
      <c r="E3" s="22"/>
      <c r="F3" s="22"/>
      <c r="G3" s="22"/>
      <c r="H3" s="22"/>
      <c r="I3" s="22"/>
      <c r="J3" s="22"/>
      <c r="K3" s="22"/>
      <c r="L3" s="23"/>
      <c r="M3" s="24"/>
      <c r="N3" s="22"/>
      <c r="O3" s="15"/>
    </row>
    <row r="4" spans="1:15" x14ac:dyDescent="0.25">
      <c r="A4" s="20" t="str">
        <f t="shared" si="0"/>
        <v/>
      </c>
      <c r="B4" s="21"/>
      <c r="C4" s="22"/>
      <c r="D4" s="22"/>
      <c r="E4" s="22"/>
      <c r="F4" s="22"/>
      <c r="G4" s="22"/>
      <c r="H4" s="22"/>
      <c r="I4" s="22"/>
      <c r="J4" s="22"/>
      <c r="K4" s="22"/>
      <c r="L4" s="23"/>
      <c r="M4" s="24"/>
      <c r="N4" s="22"/>
      <c r="O4" s="15"/>
    </row>
    <row r="5" spans="1:15" x14ac:dyDescent="0.25">
      <c r="A5" s="20" t="str">
        <f t="shared" si="0"/>
        <v/>
      </c>
      <c r="B5" s="21"/>
      <c r="C5" s="22"/>
      <c r="D5" s="22"/>
      <c r="E5" s="22"/>
      <c r="F5" s="22"/>
      <c r="G5" s="22"/>
      <c r="H5" s="22"/>
      <c r="I5" s="22"/>
      <c r="J5" s="22"/>
      <c r="K5" s="22"/>
      <c r="L5" s="23"/>
      <c r="M5" s="24"/>
      <c r="N5" s="22"/>
      <c r="O5" s="15"/>
    </row>
    <row r="6" spans="1:15" x14ac:dyDescent="0.25">
      <c r="A6" s="20" t="str">
        <f t="shared" si="0"/>
        <v/>
      </c>
      <c r="B6" s="21"/>
      <c r="C6" s="22"/>
      <c r="D6" s="22"/>
      <c r="E6" s="22"/>
      <c r="F6" s="22"/>
      <c r="G6" s="22"/>
      <c r="H6" s="22"/>
      <c r="I6" s="22"/>
      <c r="J6" s="22"/>
      <c r="K6" s="22"/>
      <c r="L6" s="23"/>
      <c r="M6" s="24"/>
      <c r="N6" s="22"/>
      <c r="O6" s="15"/>
    </row>
    <row r="7" spans="1:15" x14ac:dyDescent="0.25">
      <c r="A7" s="20" t="str">
        <f t="shared" si="0"/>
        <v/>
      </c>
      <c r="B7" s="21"/>
      <c r="C7" s="22"/>
      <c r="D7" s="22"/>
      <c r="E7" s="22"/>
      <c r="F7" s="22"/>
      <c r="G7" s="22"/>
      <c r="H7" s="22"/>
      <c r="I7" s="22"/>
      <c r="J7" s="22"/>
      <c r="K7" s="22"/>
      <c r="L7" s="23"/>
      <c r="M7" s="24"/>
      <c r="N7" s="22"/>
      <c r="O7" s="15"/>
    </row>
    <row r="8" spans="1:15" x14ac:dyDescent="0.25">
      <c r="A8" s="20" t="str">
        <f t="shared" si="0"/>
        <v/>
      </c>
      <c r="B8" s="21"/>
      <c r="C8" s="22"/>
      <c r="D8" s="22"/>
      <c r="E8" s="22"/>
      <c r="F8" s="22"/>
      <c r="G8" s="22"/>
      <c r="H8" s="22"/>
      <c r="I8" s="22"/>
      <c r="J8" s="22"/>
      <c r="K8" s="22"/>
      <c r="L8" s="23"/>
      <c r="M8" s="24"/>
      <c r="N8" s="22"/>
      <c r="O8" s="15"/>
    </row>
    <row r="9" spans="1:15" x14ac:dyDescent="0.25">
      <c r="A9" s="20" t="str">
        <f t="shared" si="0"/>
        <v/>
      </c>
      <c r="B9" s="21"/>
      <c r="C9" s="22"/>
      <c r="D9" s="22"/>
      <c r="E9" s="22"/>
      <c r="F9" s="22"/>
      <c r="G9" s="22"/>
      <c r="H9" s="22"/>
      <c r="I9" s="22"/>
      <c r="J9" s="22"/>
      <c r="K9" s="22"/>
      <c r="L9" s="23"/>
      <c r="M9" s="24"/>
      <c r="N9" s="22"/>
      <c r="O9" s="15"/>
    </row>
    <row r="10" spans="1:15" x14ac:dyDescent="0.25">
      <c r="A10" s="20" t="str">
        <f t="shared" si="0"/>
        <v/>
      </c>
      <c r="B10" s="21"/>
      <c r="C10" s="22"/>
      <c r="D10" s="22"/>
      <c r="E10" s="22"/>
      <c r="F10" s="22"/>
      <c r="G10" s="22"/>
      <c r="H10" s="22"/>
      <c r="I10" s="22"/>
      <c r="J10" s="22"/>
      <c r="K10" s="22"/>
      <c r="L10" s="23"/>
      <c r="M10" s="24"/>
      <c r="N10" s="22"/>
      <c r="O10" s="15"/>
    </row>
    <row r="11" spans="1:15" x14ac:dyDescent="0.25">
      <c r="A11" s="20" t="str">
        <f t="shared" si="0"/>
        <v/>
      </c>
      <c r="B11" s="21"/>
      <c r="C11" s="22"/>
      <c r="D11" s="22"/>
      <c r="E11" s="22"/>
      <c r="F11" s="22"/>
      <c r="G11" s="22"/>
      <c r="H11" s="22"/>
      <c r="I11" s="22"/>
      <c r="J11" s="22"/>
      <c r="K11" s="22"/>
      <c r="L11" s="23"/>
      <c r="M11" s="24"/>
      <c r="N11" s="22"/>
      <c r="O11" s="15"/>
    </row>
    <row r="12" spans="1:15" x14ac:dyDescent="0.25">
      <c r="A12" s="20" t="str">
        <f t="shared" si="0"/>
        <v/>
      </c>
      <c r="B12" s="21"/>
      <c r="C12" s="22"/>
      <c r="D12" s="22"/>
      <c r="E12" s="22"/>
      <c r="F12" s="22"/>
      <c r="G12" s="22"/>
      <c r="H12" s="22"/>
      <c r="I12" s="22"/>
      <c r="J12" s="22"/>
      <c r="K12" s="22"/>
      <c r="L12" s="23"/>
      <c r="M12" s="24"/>
      <c r="N12" s="22"/>
      <c r="O12" s="15"/>
    </row>
    <row r="13" spans="1:15" x14ac:dyDescent="0.25">
      <c r="A13" s="20" t="str">
        <f t="shared" si="0"/>
        <v/>
      </c>
      <c r="B13" s="21"/>
      <c r="C13" s="22"/>
      <c r="D13" s="22"/>
      <c r="E13" s="22"/>
      <c r="F13" s="22"/>
      <c r="G13" s="22"/>
      <c r="H13" s="22"/>
      <c r="I13" s="22"/>
      <c r="J13" s="22"/>
      <c r="K13" s="22"/>
      <c r="L13" s="23"/>
      <c r="M13" s="24"/>
      <c r="N13" s="22"/>
      <c r="O13" s="15"/>
    </row>
    <row r="14" spans="1:15" x14ac:dyDescent="0.25">
      <c r="A14" s="20" t="str">
        <f t="shared" si="0"/>
        <v/>
      </c>
      <c r="B14" s="21"/>
      <c r="C14" s="22"/>
      <c r="D14" s="22"/>
      <c r="E14" s="22"/>
      <c r="F14" s="22"/>
      <c r="G14" s="22"/>
      <c r="H14" s="22"/>
      <c r="I14" s="22"/>
      <c r="J14" s="22"/>
      <c r="K14" s="22"/>
      <c r="L14" s="23"/>
      <c r="M14" s="24"/>
      <c r="N14" s="22"/>
      <c r="O14" s="15"/>
    </row>
    <row r="15" spans="1:15" x14ac:dyDescent="0.25">
      <c r="A15" s="20" t="str">
        <f t="shared" si="0"/>
        <v/>
      </c>
      <c r="B15" s="21"/>
      <c r="C15" s="22"/>
      <c r="D15" s="22"/>
      <c r="E15" s="22"/>
      <c r="F15" s="22"/>
      <c r="G15" s="22"/>
      <c r="H15" s="22"/>
      <c r="I15" s="22"/>
      <c r="J15" s="22"/>
      <c r="K15" s="22"/>
      <c r="L15" s="23"/>
      <c r="M15" s="24"/>
      <c r="N15" s="22"/>
      <c r="O15" s="15"/>
    </row>
    <row r="16" spans="1:15" x14ac:dyDescent="0.25">
      <c r="A16" s="20" t="str">
        <f t="shared" si="0"/>
        <v/>
      </c>
      <c r="B16" s="21"/>
      <c r="C16" s="22"/>
      <c r="D16" s="22"/>
      <c r="E16" s="22"/>
      <c r="F16" s="22"/>
      <c r="G16" s="22"/>
      <c r="H16" s="22"/>
      <c r="I16" s="22"/>
      <c r="J16" s="22"/>
      <c r="K16" s="22"/>
      <c r="L16" s="23"/>
      <c r="M16" s="24"/>
      <c r="N16" s="22"/>
      <c r="O16" s="15"/>
    </row>
    <row r="17" spans="1:15" x14ac:dyDescent="0.25">
      <c r="A17" s="20" t="str">
        <f t="shared" si="0"/>
        <v/>
      </c>
      <c r="B17" s="21"/>
      <c r="C17" s="22"/>
      <c r="D17" s="22"/>
      <c r="E17" s="22"/>
      <c r="F17" s="22"/>
      <c r="G17" s="22"/>
      <c r="H17" s="22"/>
      <c r="I17" s="22"/>
      <c r="J17" s="22"/>
      <c r="K17" s="22"/>
      <c r="L17" s="23"/>
      <c r="M17" s="24"/>
      <c r="N17" s="22"/>
      <c r="O17" s="15"/>
    </row>
    <row r="18" spans="1:15" x14ac:dyDescent="0.25">
      <c r="A18" s="20" t="str">
        <f t="shared" si="0"/>
        <v/>
      </c>
      <c r="B18" s="21"/>
      <c r="C18" s="22"/>
      <c r="D18" s="22"/>
      <c r="E18" s="22"/>
      <c r="F18" s="22"/>
      <c r="G18" s="22"/>
      <c r="H18" s="22"/>
      <c r="I18" s="22"/>
      <c r="J18" s="22"/>
      <c r="K18" s="22"/>
      <c r="L18" s="23"/>
      <c r="M18" s="24"/>
      <c r="N18" s="22"/>
      <c r="O18" s="15"/>
    </row>
    <row r="19" spans="1:15" x14ac:dyDescent="0.25">
      <c r="A19" s="20" t="str">
        <f t="shared" si="0"/>
        <v/>
      </c>
      <c r="B19" s="21"/>
      <c r="C19" s="22"/>
      <c r="D19" s="22"/>
      <c r="E19" s="22"/>
      <c r="F19" s="22"/>
      <c r="G19" s="22"/>
      <c r="H19" s="22"/>
      <c r="I19" s="22"/>
      <c r="J19" s="22"/>
      <c r="K19" s="22"/>
      <c r="L19" s="23"/>
      <c r="M19" s="24"/>
      <c r="N19" s="22"/>
      <c r="O19" s="15"/>
    </row>
    <row r="20" spans="1:15" x14ac:dyDescent="0.25">
      <c r="A20" s="20" t="str">
        <f t="shared" si="0"/>
        <v/>
      </c>
      <c r="B20" s="21"/>
      <c r="C20" s="22"/>
      <c r="D20" s="22"/>
      <c r="E20" s="22"/>
      <c r="F20" s="22"/>
      <c r="G20" s="22"/>
      <c r="H20" s="22"/>
      <c r="I20" s="22"/>
      <c r="J20" s="22"/>
      <c r="K20" s="22"/>
      <c r="L20" s="23"/>
      <c r="M20" s="24"/>
      <c r="N20" s="22"/>
      <c r="O20" s="15"/>
    </row>
    <row r="21" spans="1:15" x14ac:dyDescent="0.25">
      <c r="A21" s="20" t="str">
        <f t="shared" si="0"/>
        <v/>
      </c>
      <c r="B21" s="21"/>
      <c r="C21" s="22"/>
      <c r="D21" s="22"/>
      <c r="E21" s="22"/>
      <c r="F21" s="22"/>
      <c r="G21" s="22"/>
      <c r="H21" s="22"/>
      <c r="I21" s="22"/>
      <c r="J21" s="22"/>
      <c r="K21" s="22"/>
      <c r="L21" s="23"/>
      <c r="M21" s="24"/>
      <c r="N21" s="22"/>
      <c r="O21" s="15"/>
    </row>
    <row r="22" spans="1:15" x14ac:dyDescent="0.25">
      <c r="A22" s="20" t="str">
        <f t="shared" si="0"/>
        <v/>
      </c>
      <c r="B22" s="21"/>
      <c r="C22" s="22"/>
      <c r="D22" s="22"/>
      <c r="E22" s="22"/>
      <c r="F22" s="22"/>
      <c r="G22" s="22"/>
      <c r="H22" s="22"/>
      <c r="I22" s="22"/>
      <c r="J22" s="22"/>
      <c r="K22" s="22"/>
      <c r="L22" s="23"/>
      <c r="M22" s="24"/>
      <c r="N22" s="22"/>
      <c r="O22" s="15"/>
    </row>
    <row r="23" spans="1:15" x14ac:dyDescent="0.25">
      <c r="A23" s="20" t="str">
        <f t="shared" si="0"/>
        <v/>
      </c>
      <c r="B23" s="21"/>
      <c r="C23" s="22"/>
      <c r="D23" s="22"/>
      <c r="E23" s="22"/>
      <c r="F23" s="22"/>
      <c r="G23" s="22"/>
      <c r="H23" s="22"/>
      <c r="I23" s="22"/>
      <c r="J23" s="22"/>
      <c r="K23" s="22"/>
      <c r="L23" s="23"/>
      <c r="M23" s="24"/>
      <c r="N23" s="22"/>
      <c r="O23" s="15"/>
    </row>
    <row r="24" spans="1:15" x14ac:dyDescent="0.25">
      <c r="A24" s="20" t="str">
        <f t="shared" si="0"/>
        <v/>
      </c>
      <c r="B24" s="21"/>
      <c r="C24" s="22"/>
      <c r="D24" s="22"/>
      <c r="E24" s="22"/>
      <c r="F24" s="22"/>
      <c r="G24" s="22"/>
      <c r="H24" s="22"/>
      <c r="I24" s="22"/>
      <c r="J24" s="22"/>
      <c r="K24" s="22"/>
      <c r="L24" s="23"/>
      <c r="M24" s="24"/>
      <c r="N24" s="22"/>
      <c r="O24" s="15"/>
    </row>
    <row r="25" spans="1:15" x14ac:dyDescent="0.25">
      <c r="A25" s="20" t="str">
        <f t="shared" si="0"/>
        <v/>
      </c>
      <c r="B25" s="21"/>
      <c r="C25" s="22"/>
      <c r="D25" s="22"/>
      <c r="E25" s="22"/>
      <c r="F25" s="22"/>
      <c r="G25" s="22"/>
      <c r="H25" s="22"/>
      <c r="I25" s="22"/>
      <c r="J25" s="22"/>
      <c r="K25" s="22"/>
      <c r="L25" s="23"/>
      <c r="M25" s="24"/>
      <c r="N25" s="22"/>
      <c r="O25" s="15"/>
    </row>
    <row r="26" spans="1:15" x14ac:dyDescent="0.25">
      <c r="A26" s="20" t="str">
        <f t="shared" si="0"/>
        <v/>
      </c>
      <c r="B26" s="21"/>
      <c r="C26" s="22"/>
      <c r="D26" s="22"/>
      <c r="E26" s="22"/>
      <c r="F26" s="22"/>
      <c r="G26" s="22"/>
      <c r="H26" s="22"/>
      <c r="I26" s="22"/>
      <c r="J26" s="22"/>
      <c r="K26" s="22"/>
      <c r="L26" s="23"/>
      <c r="M26" s="24"/>
      <c r="N26" s="22"/>
      <c r="O26" s="15"/>
    </row>
    <row r="27" spans="1:15" x14ac:dyDescent="0.25">
      <c r="A27" s="20" t="str">
        <f t="shared" si="0"/>
        <v/>
      </c>
      <c r="B27" s="21"/>
      <c r="C27" s="22"/>
      <c r="D27" s="22"/>
      <c r="E27" s="22"/>
      <c r="F27" s="22"/>
      <c r="G27" s="22"/>
      <c r="H27" s="22"/>
      <c r="I27" s="22"/>
      <c r="J27" s="22"/>
      <c r="K27" s="22"/>
      <c r="L27" s="23"/>
      <c r="M27" s="24"/>
      <c r="N27" s="22"/>
      <c r="O27" s="15"/>
    </row>
    <row r="28" spans="1:15" x14ac:dyDescent="0.25">
      <c r="A28" s="20" t="str">
        <f t="shared" si="0"/>
        <v/>
      </c>
      <c r="B28" s="21"/>
      <c r="C28" s="22"/>
      <c r="D28" s="22"/>
      <c r="E28" s="22"/>
      <c r="F28" s="22"/>
      <c r="G28" s="22"/>
      <c r="H28" s="22"/>
      <c r="I28" s="22"/>
      <c r="J28" s="22"/>
      <c r="K28" s="22"/>
      <c r="L28" s="23"/>
      <c r="M28" s="24"/>
      <c r="N28" s="22"/>
      <c r="O28" s="15"/>
    </row>
    <row r="29" spans="1:15" x14ac:dyDescent="0.25">
      <c r="A29" s="20" t="str">
        <f t="shared" si="0"/>
        <v/>
      </c>
      <c r="B29" s="21"/>
      <c r="C29" s="22"/>
      <c r="D29" s="22"/>
      <c r="E29" s="22"/>
      <c r="F29" s="22"/>
      <c r="G29" s="22"/>
      <c r="H29" s="22"/>
      <c r="I29" s="22"/>
      <c r="J29" s="22"/>
      <c r="K29" s="22"/>
      <c r="L29" s="23"/>
      <c r="M29" s="24"/>
      <c r="N29" s="22"/>
      <c r="O29" s="15"/>
    </row>
    <row r="30" spans="1:15" x14ac:dyDescent="0.25">
      <c r="A30" s="20" t="str">
        <f t="shared" si="0"/>
        <v/>
      </c>
      <c r="B30" s="21"/>
      <c r="C30" s="22"/>
      <c r="D30" s="22"/>
      <c r="E30" s="22"/>
      <c r="F30" s="22"/>
      <c r="G30" s="22"/>
      <c r="H30" s="22"/>
      <c r="I30" s="22"/>
      <c r="J30" s="22"/>
      <c r="K30" s="22"/>
      <c r="L30" s="23"/>
      <c r="M30" s="24"/>
      <c r="N30" s="22"/>
      <c r="O30" s="15"/>
    </row>
    <row r="31" spans="1:15" x14ac:dyDescent="0.25">
      <c r="A31" s="20" t="str">
        <f t="shared" si="0"/>
        <v/>
      </c>
      <c r="B31" s="21"/>
      <c r="C31" s="22"/>
      <c r="D31" s="22"/>
      <c r="E31" s="22"/>
      <c r="F31" s="22"/>
      <c r="G31" s="22"/>
      <c r="H31" s="22"/>
      <c r="I31" s="22"/>
      <c r="J31" s="22"/>
      <c r="K31" s="22"/>
      <c r="L31" s="23"/>
      <c r="M31" s="24"/>
      <c r="N31" s="22"/>
      <c r="O31" s="15"/>
    </row>
    <row r="32" spans="1:15" x14ac:dyDescent="0.25">
      <c r="A32" s="20" t="str">
        <f t="shared" si="0"/>
        <v/>
      </c>
      <c r="B32" s="21"/>
      <c r="C32" s="22"/>
      <c r="D32" s="22"/>
      <c r="E32" s="22"/>
      <c r="F32" s="22"/>
      <c r="G32" s="22"/>
      <c r="H32" s="22"/>
      <c r="I32" s="22"/>
      <c r="J32" s="22"/>
      <c r="K32" s="22"/>
      <c r="L32" s="23"/>
      <c r="M32" s="24"/>
      <c r="N32" s="22"/>
      <c r="O32" s="15"/>
    </row>
    <row r="33" spans="1:15" x14ac:dyDescent="0.25">
      <c r="A33" s="20" t="str">
        <f t="shared" si="0"/>
        <v/>
      </c>
      <c r="B33" s="21"/>
      <c r="C33" s="22"/>
      <c r="D33" s="22"/>
      <c r="E33" s="22"/>
      <c r="F33" s="22"/>
      <c r="G33" s="22"/>
      <c r="H33" s="22"/>
      <c r="I33" s="22"/>
      <c r="J33" s="22"/>
      <c r="K33" s="22"/>
      <c r="L33" s="23"/>
      <c r="M33" s="24"/>
      <c r="N33" s="22"/>
      <c r="O33" s="15"/>
    </row>
    <row r="34" spans="1:15" x14ac:dyDescent="0.25">
      <c r="A34" s="20" t="str">
        <f t="shared" si="0"/>
        <v/>
      </c>
      <c r="B34" s="21"/>
      <c r="C34" s="22"/>
      <c r="D34" s="22"/>
      <c r="E34" s="22"/>
      <c r="F34" s="22"/>
      <c r="G34" s="22"/>
      <c r="H34" s="22"/>
      <c r="I34" s="22"/>
      <c r="J34" s="22"/>
      <c r="K34" s="22"/>
      <c r="L34" s="23"/>
      <c r="M34" s="24"/>
      <c r="N34" s="22"/>
      <c r="O34" s="15"/>
    </row>
    <row r="35" spans="1:15" x14ac:dyDescent="0.25">
      <c r="A35" s="20" t="str">
        <f t="shared" si="0"/>
        <v/>
      </c>
      <c r="B35" s="21"/>
      <c r="C35" s="22"/>
      <c r="D35" s="22"/>
      <c r="E35" s="22"/>
      <c r="F35" s="22"/>
      <c r="G35" s="22"/>
      <c r="H35" s="22"/>
      <c r="I35" s="22"/>
      <c r="J35" s="22"/>
      <c r="K35" s="22"/>
      <c r="L35" s="23"/>
      <c r="M35" s="24"/>
      <c r="N35" s="22"/>
      <c r="O35" s="15"/>
    </row>
    <row r="36" spans="1:15" x14ac:dyDescent="0.25">
      <c r="A36" s="20" t="str">
        <f t="shared" si="0"/>
        <v/>
      </c>
      <c r="B36" s="21"/>
      <c r="C36" s="22"/>
      <c r="D36" s="22"/>
      <c r="E36" s="22"/>
      <c r="F36" s="22"/>
      <c r="G36" s="22"/>
      <c r="H36" s="22"/>
      <c r="I36" s="22"/>
      <c r="J36" s="22"/>
      <c r="K36" s="22"/>
      <c r="L36" s="23"/>
      <c r="M36" s="24"/>
      <c r="N36" s="22"/>
      <c r="O36" s="15"/>
    </row>
    <row r="37" spans="1:15" x14ac:dyDescent="0.25">
      <c r="A37" s="20" t="str">
        <f t="shared" si="0"/>
        <v/>
      </c>
      <c r="B37" s="21"/>
      <c r="C37" s="22"/>
      <c r="D37" s="22"/>
      <c r="E37" s="22"/>
      <c r="F37" s="22"/>
      <c r="G37" s="22"/>
      <c r="H37" s="22"/>
      <c r="I37" s="22"/>
      <c r="J37" s="22"/>
      <c r="K37" s="22"/>
      <c r="L37" s="23"/>
      <c r="M37" s="24"/>
      <c r="N37" s="22"/>
      <c r="O37" s="15"/>
    </row>
    <row r="38" spans="1:15" x14ac:dyDescent="0.25">
      <c r="A38" s="20" t="str">
        <f t="shared" si="0"/>
        <v/>
      </c>
      <c r="B38" s="21"/>
      <c r="C38" s="22"/>
      <c r="D38" s="22"/>
      <c r="E38" s="22"/>
      <c r="F38" s="22"/>
      <c r="G38" s="22"/>
      <c r="H38" s="22"/>
      <c r="I38" s="22"/>
      <c r="J38" s="22"/>
      <c r="K38" s="22"/>
      <c r="L38" s="23"/>
      <c r="M38" s="24"/>
      <c r="N38" s="22"/>
      <c r="O38" s="15"/>
    </row>
    <row r="39" spans="1:15" x14ac:dyDescent="0.25">
      <c r="A39" s="20" t="str">
        <f t="shared" si="0"/>
        <v/>
      </c>
      <c r="B39" s="21"/>
      <c r="C39" s="22"/>
      <c r="D39" s="22"/>
      <c r="E39" s="22"/>
      <c r="F39" s="22"/>
      <c r="G39" s="22"/>
      <c r="H39" s="22"/>
      <c r="I39" s="22"/>
      <c r="J39" s="22"/>
      <c r="K39" s="22"/>
      <c r="L39" s="23"/>
      <c r="M39" s="24"/>
      <c r="N39" s="22"/>
      <c r="O39" s="15"/>
    </row>
    <row r="40" spans="1:15" x14ac:dyDescent="0.25">
      <c r="A40" s="20" t="str">
        <f t="shared" si="0"/>
        <v/>
      </c>
      <c r="B40" s="21"/>
      <c r="C40" s="22"/>
      <c r="D40" s="22"/>
      <c r="E40" s="22"/>
      <c r="F40" s="22"/>
      <c r="G40" s="22"/>
      <c r="H40" s="22"/>
      <c r="I40" s="22"/>
      <c r="J40" s="22"/>
      <c r="K40" s="22"/>
      <c r="L40" s="23"/>
      <c r="M40" s="24"/>
      <c r="N40" s="22"/>
      <c r="O40" s="15"/>
    </row>
    <row r="41" spans="1:15" x14ac:dyDescent="0.25">
      <c r="A41" s="20" t="str">
        <f t="shared" si="0"/>
        <v/>
      </c>
      <c r="B41" s="21"/>
      <c r="C41" s="22"/>
      <c r="D41" s="22"/>
      <c r="E41" s="22"/>
      <c r="F41" s="22"/>
      <c r="G41" s="22"/>
      <c r="H41" s="22"/>
      <c r="I41" s="22"/>
      <c r="J41" s="22"/>
      <c r="K41" s="22"/>
      <c r="L41" s="23"/>
      <c r="M41" s="24"/>
      <c r="N41" s="22"/>
      <c r="O41" s="15"/>
    </row>
    <row r="42" spans="1:15" x14ac:dyDescent="0.25">
      <c r="A42" s="20" t="str">
        <f t="shared" si="0"/>
        <v/>
      </c>
      <c r="B42" s="21"/>
      <c r="C42" s="22"/>
      <c r="D42" s="22"/>
      <c r="E42" s="22"/>
      <c r="F42" s="22"/>
      <c r="G42" s="22"/>
      <c r="H42" s="22"/>
      <c r="I42" s="22"/>
      <c r="J42" s="22"/>
      <c r="K42" s="22"/>
      <c r="L42" s="23"/>
      <c r="M42" s="24"/>
      <c r="N42" s="22"/>
      <c r="O42" s="15"/>
    </row>
    <row r="43" spans="1:15" x14ac:dyDescent="0.25">
      <c r="A43" s="20" t="str">
        <f t="shared" si="0"/>
        <v/>
      </c>
      <c r="B43" s="21"/>
      <c r="C43" s="22"/>
      <c r="D43" s="22"/>
      <c r="E43" s="22"/>
      <c r="F43" s="22"/>
      <c r="G43" s="22"/>
      <c r="H43" s="22"/>
      <c r="I43" s="22"/>
      <c r="J43" s="22"/>
      <c r="K43" s="22"/>
      <c r="L43" s="23"/>
      <c r="M43" s="24"/>
      <c r="N43" s="22"/>
      <c r="O43" s="15"/>
    </row>
    <row r="44" spans="1:15" x14ac:dyDescent="0.25">
      <c r="A44" s="20" t="str">
        <f t="shared" si="0"/>
        <v/>
      </c>
      <c r="B44" s="21"/>
      <c r="C44" s="22"/>
      <c r="D44" s="22"/>
      <c r="E44" s="22"/>
      <c r="F44" s="22"/>
      <c r="G44" s="22"/>
      <c r="H44" s="22"/>
      <c r="I44" s="22"/>
      <c r="J44" s="22"/>
      <c r="K44" s="22"/>
      <c r="L44" s="23"/>
      <c r="M44" s="24"/>
      <c r="N44" s="22"/>
      <c r="O44" s="15"/>
    </row>
    <row r="45" spans="1:15" x14ac:dyDescent="0.25">
      <c r="A45" s="20" t="str">
        <f t="shared" si="0"/>
        <v/>
      </c>
      <c r="B45" s="21"/>
      <c r="C45" s="22"/>
      <c r="D45" s="22"/>
      <c r="E45" s="22"/>
      <c r="F45" s="22"/>
      <c r="G45" s="22"/>
      <c r="H45" s="22"/>
      <c r="I45" s="22"/>
      <c r="J45" s="22"/>
      <c r="K45" s="22"/>
      <c r="L45" s="23"/>
      <c r="M45" s="24"/>
      <c r="N45" s="22"/>
      <c r="O45" s="15"/>
    </row>
    <row r="46" spans="1:15" x14ac:dyDescent="0.25">
      <c r="A46" s="20" t="str">
        <f t="shared" si="0"/>
        <v/>
      </c>
      <c r="B46" s="21"/>
      <c r="C46" s="22"/>
      <c r="D46" s="22"/>
      <c r="E46" s="22"/>
      <c r="F46" s="22"/>
      <c r="G46" s="22"/>
      <c r="H46" s="22"/>
      <c r="I46" s="22"/>
      <c r="J46" s="22"/>
      <c r="K46" s="22"/>
      <c r="L46" s="23"/>
      <c r="M46" s="24"/>
      <c r="N46" s="22"/>
      <c r="O46" s="15"/>
    </row>
    <row r="47" spans="1:15" x14ac:dyDescent="0.25">
      <c r="A47" s="20" t="str">
        <f t="shared" si="0"/>
        <v/>
      </c>
      <c r="B47" s="21"/>
      <c r="C47" s="22"/>
      <c r="D47" s="22"/>
      <c r="E47" s="22"/>
      <c r="F47" s="22"/>
      <c r="G47" s="22"/>
      <c r="H47" s="22"/>
      <c r="I47" s="22"/>
      <c r="J47" s="22"/>
      <c r="K47" s="22"/>
      <c r="L47" s="23"/>
      <c r="M47" s="24"/>
      <c r="N47" s="22"/>
      <c r="O47" s="15"/>
    </row>
    <row r="48" spans="1:15" x14ac:dyDescent="0.25">
      <c r="A48" s="20" t="str">
        <f t="shared" si="0"/>
        <v/>
      </c>
      <c r="B48" s="21"/>
      <c r="C48" s="22"/>
      <c r="D48" s="22"/>
      <c r="E48" s="22"/>
      <c r="F48" s="22"/>
      <c r="G48" s="22"/>
      <c r="H48" s="22"/>
      <c r="I48" s="22"/>
      <c r="J48" s="22"/>
      <c r="K48" s="22"/>
      <c r="L48" s="23"/>
      <c r="M48" s="24"/>
      <c r="N48" s="22"/>
      <c r="O48" s="15"/>
    </row>
    <row r="49" spans="1:15" x14ac:dyDescent="0.25">
      <c r="A49" s="20" t="str">
        <f t="shared" si="0"/>
        <v/>
      </c>
      <c r="B49" s="21"/>
      <c r="C49" s="22"/>
      <c r="D49" s="22"/>
      <c r="E49" s="22"/>
      <c r="F49" s="22"/>
      <c r="G49" s="22"/>
      <c r="H49" s="22"/>
      <c r="I49" s="22"/>
      <c r="J49" s="22"/>
      <c r="K49" s="22"/>
      <c r="L49" s="23"/>
      <c r="M49" s="24"/>
      <c r="N49" s="22"/>
      <c r="O49" s="15"/>
    </row>
    <row r="50" spans="1:15" x14ac:dyDescent="0.25">
      <c r="A50" s="20" t="str">
        <f t="shared" si="0"/>
        <v/>
      </c>
      <c r="B50" s="21"/>
      <c r="C50" s="22"/>
      <c r="D50" s="22"/>
      <c r="E50" s="22"/>
      <c r="F50" s="22"/>
      <c r="G50" s="22"/>
      <c r="H50" s="22"/>
      <c r="I50" s="22"/>
      <c r="J50" s="22"/>
      <c r="K50" s="22"/>
      <c r="L50" s="23"/>
      <c r="M50" s="24"/>
      <c r="N50" s="22"/>
      <c r="O50" s="15"/>
    </row>
    <row r="51" spans="1:15" x14ac:dyDescent="0.25">
      <c r="A51" s="20" t="str">
        <f t="shared" si="0"/>
        <v/>
      </c>
      <c r="B51" s="21"/>
      <c r="C51" s="22"/>
      <c r="D51" s="22"/>
      <c r="E51" s="22"/>
      <c r="F51" s="22"/>
      <c r="G51" s="22"/>
      <c r="H51" s="22"/>
      <c r="I51" s="22"/>
      <c r="J51" s="22"/>
      <c r="K51" s="22"/>
      <c r="L51" s="23"/>
      <c r="M51" s="24"/>
      <c r="N51" s="22"/>
      <c r="O51" s="15"/>
    </row>
    <row r="52" spans="1:15" x14ac:dyDescent="0.25">
      <c r="A52" s="20" t="str">
        <f t="shared" si="0"/>
        <v/>
      </c>
      <c r="B52" s="21"/>
      <c r="C52" s="22"/>
      <c r="D52" s="22"/>
      <c r="E52" s="22"/>
      <c r="F52" s="22"/>
      <c r="G52" s="22"/>
      <c r="H52" s="22"/>
      <c r="I52" s="22"/>
      <c r="J52" s="22"/>
      <c r="K52" s="22"/>
      <c r="L52" s="23"/>
      <c r="M52" s="24"/>
      <c r="N52" s="22"/>
      <c r="O52" s="15"/>
    </row>
    <row r="53" spans="1:15" x14ac:dyDescent="0.25">
      <c r="A53" s="20" t="str">
        <f t="shared" si="0"/>
        <v/>
      </c>
      <c r="B53" s="21"/>
      <c r="C53" s="22"/>
      <c r="D53" s="22"/>
      <c r="E53" s="22"/>
      <c r="F53" s="22"/>
      <c r="G53" s="22"/>
      <c r="H53" s="22"/>
      <c r="I53" s="22"/>
      <c r="J53" s="22"/>
      <c r="K53" s="22"/>
      <c r="L53" s="23"/>
      <c r="M53" s="24"/>
      <c r="N53" s="22"/>
      <c r="O53" s="15"/>
    </row>
    <row r="54" spans="1:15" x14ac:dyDescent="0.25">
      <c r="A54" s="20" t="str">
        <f t="shared" si="0"/>
        <v/>
      </c>
      <c r="B54" s="21"/>
      <c r="C54" s="22"/>
      <c r="D54" s="22"/>
      <c r="E54" s="22"/>
      <c r="F54" s="22"/>
      <c r="G54" s="22"/>
      <c r="H54" s="22"/>
      <c r="I54" s="22"/>
      <c r="J54" s="22"/>
      <c r="K54" s="22"/>
      <c r="L54" s="23"/>
      <c r="M54" s="24"/>
      <c r="N54" s="22"/>
      <c r="O54" s="15"/>
    </row>
    <row r="55" spans="1:15" x14ac:dyDescent="0.25">
      <c r="A55" s="20" t="str">
        <f t="shared" si="0"/>
        <v/>
      </c>
      <c r="B55" s="21"/>
      <c r="C55" s="22"/>
      <c r="D55" s="22"/>
      <c r="E55" s="22"/>
      <c r="F55" s="22"/>
      <c r="G55" s="22"/>
      <c r="H55" s="22"/>
      <c r="I55" s="22"/>
      <c r="J55" s="22"/>
      <c r="K55" s="22"/>
      <c r="L55" s="23"/>
      <c r="M55" s="24"/>
      <c r="N55" s="22"/>
      <c r="O55" s="15"/>
    </row>
    <row r="56" spans="1:15" x14ac:dyDescent="0.25">
      <c r="A56" s="20" t="str">
        <f t="shared" si="0"/>
        <v/>
      </c>
      <c r="B56" s="21"/>
      <c r="C56" s="22"/>
      <c r="D56" s="22"/>
      <c r="E56" s="22"/>
      <c r="F56" s="22"/>
      <c r="G56" s="22"/>
      <c r="H56" s="22"/>
      <c r="I56" s="22"/>
      <c r="J56" s="22"/>
      <c r="K56" s="22"/>
      <c r="L56" s="23"/>
      <c r="M56" s="24"/>
      <c r="N56" s="22"/>
      <c r="O56" s="15"/>
    </row>
    <row r="57" spans="1:15" x14ac:dyDescent="0.25">
      <c r="A57" s="20" t="str">
        <f t="shared" si="0"/>
        <v/>
      </c>
      <c r="B57" s="21"/>
      <c r="C57" s="22"/>
      <c r="D57" s="22"/>
      <c r="E57" s="22"/>
      <c r="F57" s="22"/>
      <c r="G57" s="22"/>
      <c r="H57" s="22"/>
      <c r="I57" s="22"/>
      <c r="J57" s="22"/>
      <c r="K57" s="22"/>
      <c r="L57" s="23"/>
      <c r="M57" s="24"/>
      <c r="N57" s="22"/>
      <c r="O57" s="15"/>
    </row>
    <row r="58" spans="1:15" x14ac:dyDescent="0.25">
      <c r="A58" s="20" t="str">
        <f t="shared" si="0"/>
        <v/>
      </c>
      <c r="B58" s="21"/>
      <c r="C58" s="22"/>
      <c r="D58" s="22"/>
      <c r="E58" s="22"/>
      <c r="F58" s="22"/>
      <c r="G58" s="22"/>
      <c r="H58" s="22"/>
      <c r="I58" s="22"/>
      <c r="J58" s="22"/>
      <c r="K58" s="22"/>
      <c r="L58" s="23"/>
      <c r="M58" s="24"/>
      <c r="N58" s="22"/>
      <c r="O58" s="15"/>
    </row>
    <row r="59" spans="1:15" x14ac:dyDescent="0.25">
      <c r="A59" s="20" t="str">
        <f t="shared" si="0"/>
        <v/>
      </c>
      <c r="B59" s="21"/>
      <c r="C59" s="22"/>
      <c r="D59" s="22"/>
      <c r="E59" s="22"/>
      <c r="F59" s="22"/>
      <c r="G59" s="22"/>
      <c r="H59" s="22"/>
      <c r="I59" s="22"/>
      <c r="J59" s="22"/>
      <c r="K59" s="22"/>
      <c r="L59" s="23"/>
      <c r="M59" s="24"/>
      <c r="N59" s="22"/>
      <c r="O59" s="15"/>
    </row>
    <row r="60" spans="1:15" x14ac:dyDescent="0.25">
      <c r="A60" s="20" t="str">
        <f t="shared" si="0"/>
        <v/>
      </c>
      <c r="B60" s="21"/>
      <c r="C60" s="22"/>
      <c r="D60" s="22"/>
      <c r="E60" s="22"/>
      <c r="F60" s="22"/>
      <c r="G60" s="22"/>
      <c r="H60" s="22"/>
      <c r="I60" s="22"/>
      <c r="J60" s="22"/>
      <c r="K60" s="22"/>
      <c r="L60" s="23"/>
      <c r="M60" s="24"/>
      <c r="N60" s="22"/>
      <c r="O60" s="15"/>
    </row>
    <row r="61" spans="1:15" x14ac:dyDescent="0.25">
      <c r="A61" s="20" t="str">
        <f t="shared" si="0"/>
        <v/>
      </c>
      <c r="B61" s="21"/>
      <c r="C61" s="22"/>
      <c r="D61" s="22"/>
      <c r="E61" s="22"/>
      <c r="F61" s="22"/>
      <c r="G61" s="22"/>
      <c r="H61" s="22"/>
      <c r="I61" s="22"/>
      <c r="J61" s="22"/>
      <c r="K61" s="22"/>
      <c r="L61" s="23"/>
      <c r="M61" s="24"/>
      <c r="N61" s="22"/>
      <c r="O61" s="15"/>
    </row>
    <row r="62" spans="1:15" x14ac:dyDescent="0.25">
      <c r="A62" s="20" t="str">
        <f t="shared" si="0"/>
        <v/>
      </c>
      <c r="B62" s="21"/>
      <c r="C62" s="22"/>
      <c r="D62" s="22"/>
      <c r="E62" s="22"/>
      <c r="F62" s="22"/>
      <c r="G62" s="22"/>
      <c r="H62" s="22"/>
      <c r="I62" s="22"/>
      <c r="J62" s="22"/>
      <c r="K62" s="22"/>
      <c r="L62" s="23"/>
      <c r="M62" s="24"/>
      <c r="N62" s="22"/>
      <c r="O62" s="15"/>
    </row>
    <row r="63" spans="1:15" x14ac:dyDescent="0.25">
      <c r="A63" s="20" t="str">
        <f t="shared" si="0"/>
        <v/>
      </c>
      <c r="B63" s="21"/>
      <c r="C63" s="22"/>
      <c r="D63" s="22"/>
      <c r="E63" s="22"/>
      <c r="F63" s="22"/>
      <c r="G63" s="22"/>
      <c r="H63" s="22"/>
      <c r="I63" s="22"/>
      <c r="J63" s="22"/>
      <c r="K63" s="22"/>
      <c r="L63" s="23"/>
      <c r="M63" s="24"/>
      <c r="N63" s="22"/>
      <c r="O63" s="15"/>
    </row>
    <row r="64" spans="1:15" x14ac:dyDescent="0.25">
      <c r="A64" s="20" t="str">
        <f t="shared" si="0"/>
        <v/>
      </c>
      <c r="B64" s="21"/>
      <c r="C64" s="22"/>
      <c r="D64" s="22"/>
      <c r="E64" s="22"/>
      <c r="F64" s="22"/>
      <c r="G64" s="22"/>
      <c r="H64" s="22"/>
      <c r="I64" s="22"/>
      <c r="J64" s="22"/>
      <c r="K64" s="22"/>
      <c r="L64" s="23"/>
      <c r="M64" s="24"/>
      <c r="N64" s="22"/>
      <c r="O64" s="15"/>
    </row>
    <row r="65" spans="1:15" x14ac:dyDescent="0.25">
      <c r="A65" s="20" t="str">
        <f t="shared" si="0"/>
        <v/>
      </c>
      <c r="B65" s="21"/>
      <c r="C65" s="22"/>
      <c r="D65" s="22"/>
      <c r="E65" s="22"/>
      <c r="F65" s="22"/>
      <c r="G65" s="22"/>
      <c r="H65" s="22"/>
      <c r="I65" s="22"/>
      <c r="J65" s="22"/>
      <c r="K65" s="22"/>
      <c r="L65" s="23"/>
      <c r="M65" s="24"/>
      <c r="N65" s="22"/>
      <c r="O65" s="15"/>
    </row>
    <row r="66" spans="1:15" x14ac:dyDescent="0.25">
      <c r="A66" s="20" t="str">
        <f t="shared" ref="A66:A129" si="1">IF(AND(B66="",D66=""),"",ROW()-1)</f>
        <v/>
      </c>
      <c r="B66" s="21"/>
      <c r="C66" s="22"/>
      <c r="D66" s="22"/>
      <c r="E66" s="22"/>
      <c r="F66" s="22"/>
      <c r="G66" s="22"/>
      <c r="H66" s="22"/>
      <c r="I66" s="22"/>
      <c r="J66" s="22"/>
      <c r="K66" s="22"/>
      <c r="L66" s="23"/>
      <c r="M66" s="24"/>
      <c r="N66" s="22"/>
      <c r="O66" s="15"/>
    </row>
    <row r="67" spans="1:15" x14ac:dyDescent="0.25">
      <c r="A67" s="20" t="str">
        <f t="shared" si="1"/>
        <v/>
      </c>
      <c r="B67" s="21"/>
      <c r="C67" s="22"/>
      <c r="D67" s="22"/>
      <c r="E67" s="22"/>
      <c r="F67" s="22"/>
      <c r="G67" s="22"/>
      <c r="H67" s="22"/>
      <c r="I67" s="22"/>
      <c r="J67" s="22"/>
      <c r="K67" s="22"/>
      <c r="L67" s="23"/>
      <c r="M67" s="24"/>
      <c r="N67" s="22"/>
      <c r="O67" s="15"/>
    </row>
    <row r="68" spans="1:15" x14ac:dyDescent="0.25">
      <c r="A68" s="20" t="str">
        <f t="shared" si="1"/>
        <v/>
      </c>
      <c r="B68" s="21"/>
      <c r="C68" s="22"/>
      <c r="D68" s="22"/>
      <c r="E68" s="22"/>
      <c r="F68" s="22"/>
      <c r="G68" s="22"/>
      <c r="H68" s="22"/>
      <c r="I68" s="22"/>
      <c r="J68" s="22"/>
      <c r="K68" s="22"/>
      <c r="L68" s="23"/>
      <c r="M68" s="24"/>
      <c r="N68" s="22"/>
      <c r="O68" s="15"/>
    </row>
    <row r="69" spans="1:15" x14ac:dyDescent="0.25">
      <c r="A69" s="20" t="str">
        <f t="shared" si="1"/>
        <v/>
      </c>
      <c r="B69" s="21"/>
      <c r="C69" s="22"/>
      <c r="D69" s="22"/>
      <c r="E69" s="22"/>
      <c r="F69" s="22"/>
      <c r="G69" s="22"/>
      <c r="H69" s="22"/>
      <c r="I69" s="22"/>
      <c r="J69" s="22"/>
      <c r="K69" s="22"/>
      <c r="L69" s="23"/>
      <c r="M69" s="24"/>
      <c r="N69" s="22"/>
      <c r="O69" s="15"/>
    </row>
    <row r="70" spans="1:15" x14ac:dyDescent="0.25">
      <c r="A70" s="20" t="str">
        <f t="shared" si="1"/>
        <v/>
      </c>
      <c r="B70" s="21"/>
      <c r="C70" s="22"/>
      <c r="D70" s="22"/>
      <c r="E70" s="22"/>
      <c r="F70" s="22"/>
      <c r="G70" s="22"/>
      <c r="H70" s="22"/>
      <c r="I70" s="22"/>
      <c r="J70" s="22"/>
      <c r="K70" s="22"/>
      <c r="L70" s="23"/>
      <c r="M70" s="24"/>
      <c r="N70" s="22"/>
      <c r="O70" s="15"/>
    </row>
    <row r="71" spans="1:15" x14ac:dyDescent="0.25">
      <c r="A71" s="20" t="str">
        <f t="shared" si="1"/>
        <v/>
      </c>
      <c r="B71" s="21"/>
      <c r="C71" s="22"/>
      <c r="D71" s="22"/>
      <c r="E71" s="22"/>
      <c r="F71" s="22"/>
      <c r="G71" s="22"/>
      <c r="H71" s="22"/>
      <c r="I71" s="22"/>
      <c r="J71" s="22"/>
      <c r="K71" s="22"/>
      <c r="L71" s="23"/>
      <c r="M71" s="24"/>
      <c r="N71" s="22"/>
      <c r="O71" s="15"/>
    </row>
    <row r="72" spans="1:15" x14ac:dyDescent="0.25">
      <c r="A72" s="20" t="str">
        <f t="shared" si="1"/>
        <v/>
      </c>
      <c r="B72" s="21"/>
      <c r="C72" s="22"/>
      <c r="D72" s="22"/>
      <c r="E72" s="22"/>
      <c r="F72" s="22"/>
      <c r="G72" s="22"/>
      <c r="H72" s="22"/>
      <c r="I72" s="22"/>
      <c r="J72" s="22"/>
      <c r="K72" s="22"/>
      <c r="L72" s="23"/>
      <c r="M72" s="24"/>
      <c r="N72" s="22"/>
      <c r="O72" s="15"/>
    </row>
    <row r="73" spans="1:15" x14ac:dyDescent="0.25">
      <c r="A73" s="20" t="str">
        <f t="shared" si="1"/>
        <v/>
      </c>
      <c r="B73" s="21"/>
      <c r="C73" s="22"/>
      <c r="D73" s="22"/>
      <c r="E73" s="22"/>
      <c r="F73" s="22"/>
      <c r="G73" s="22"/>
      <c r="H73" s="22"/>
      <c r="I73" s="22"/>
      <c r="J73" s="22"/>
      <c r="K73" s="22"/>
      <c r="L73" s="23"/>
      <c r="M73" s="24"/>
      <c r="N73" s="22"/>
      <c r="O73" s="15"/>
    </row>
    <row r="74" spans="1:15" x14ac:dyDescent="0.25">
      <c r="A74" s="20" t="str">
        <f t="shared" si="1"/>
        <v/>
      </c>
      <c r="B74" s="21"/>
      <c r="C74" s="22"/>
      <c r="D74" s="22"/>
      <c r="E74" s="22"/>
      <c r="F74" s="22"/>
      <c r="G74" s="22"/>
      <c r="H74" s="22"/>
      <c r="I74" s="22"/>
      <c r="J74" s="22"/>
      <c r="K74" s="22"/>
      <c r="L74" s="23"/>
      <c r="M74" s="24"/>
      <c r="N74" s="22"/>
      <c r="O74" s="15"/>
    </row>
    <row r="75" spans="1:15" x14ac:dyDescent="0.25">
      <c r="A75" s="20" t="str">
        <f t="shared" si="1"/>
        <v/>
      </c>
      <c r="B75" s="21"/>
      <c r="C75" s="22"/>
      <c r="D75" s="22"/>
      <c r="E75" s="22"/>
      <c r="F75" s="22"/>
      <c r="G75" s="22"/>
      <c r="H75" s="22"/>
      <c r="I75" s="22"/>
      <c r="J75" s="22"/>
      <c r="K75" s="22"/>
      <c r="L75" s="23"/>
      <c r="M75" s="24"/>
      <c r="N75" s="22"/>
      <c r="O75" s="15"/>
    </row>
    <row r="76" spans="1:15" x14ac:dyDescent="0.25">
      <c r="A76" s="20" t="str">
        <f t="shared" si="1"/>
        <v/>
      </c>
      <c r="B76" s="21"/>
      <c r="C76" s="22"/>
      <c r="D76" s="22"/>
      <c r="E76" s="22"/>
      <c r="F76" s="22"/>
      <c r="G76" s="22"/>
      <c r="H76" s="22"/>
      <c r="I76" s="22"/>
      <c r="J76" s="22"/>
      <c r="K76" s="22"/>
      <c r="L76" s="23"/>
      <c r="M76" s="24"/>
      <c r="N76" s="22"/>
      <c r="O76" s="15"/>
    </row>
    <row r="77" spans="1:15" x14ac:dyDescent="0.25">
      <c r="A77" s="20" t="str">
        <f t="shared" si="1"/>
        <v/>
      </c>
      <c r="B77" s="21"/>
      <c r="C77" s="22"/>
      <c r="D77" s="22"/>
      <c r="E77" s="22"/>
      <c r="F77" s="22"/>
      <c r="G77" s="22"/>
      <c r="H77" s="22"/>
      <c r="I77" s="22"/>
      <c r="J77" s="22"/>
      <c r="K77" s="22"/>
      <c r="L77" s="23"/>
      <c r="M77" s="24"/>
      <c r="N77" s="22"/>
      <c r="O77" s="15"/>
    </row>
    <row r="78" spans="1:15" x14ac:dyDescent="0.25">
      <c r="A78" s="20" t="str">
        <f t="shared" si="1"/>
        <v/>
      </c>
      <c r="B78" s="21"/>
      <c r="C78" s="22"/>
      <c r="D78" s="22"/>
      <c r="E78" s="22"/>
      <c r="F78" s="22"/>
      <c r="G78" s="22"/>
      <c r="H78" s="22"/>
      <c r="I78" s="22"/>
      <c r="J78" s="22"/>
      <c r="K78" s="22"/>
      <c r="L78" s="23"/>
      <c r="M78" s="24"/>
      <c r="N78" s="22"/>
      <c r="O78" s="15"/>
    </row>
    <row r="79" spans="1:15" x14ac:dyDescent="0.25">
      <c r="A79" s="20" t="str">
        <f t="shared" si="1"/>
        <v/>
      </c>
      <c r="B79" s="21"/>
      <c r="C79" s="22"/>
      <c r="D79" s="22"/>
      <c r="E79" s="22"/>
      <c r="F79" s="22"/>
      <c r="G79" s="22"/>
      <c r="H79" s="22"/>
      <c r="I79" s="22"/>
      <c r="J79" s="22"/>
      <c r="K79" s="22"/>
      <c r="L79" s="23"/>
      <c r="M79" s="24"/>
      <c r="N79" s="22"/>
      <c r="O79" s="15"/>
    </row>
    <row r="80" spans="1:15" x14ac:dyDescent="0.25">
      <c r="A80" s="20" t="str">
        <f t="shared" si="1"/>
        <v/>
      </c>
      <c r="B80" s="21"/>
      <c r="C80" s="22"/>
      <c r="D80" s="22"/>
      <c r="E80" s="22"/>
      <c r="F80" s="22"/>
      <c r="G80" s="22"/>
      <c r="H80" s="22"/>
      <c r="I80" s="22"/>
      <c r="J80" s="22"/>
      <c r="K80" s="22"/>
      <c r="L80" s="23"/>
      <c r="M80" s="24"/>
      <c r="N80" s="22"/>
      <c r="O80" s="15"/>
    </row>
    <row r="81" spans="1:15" x14ac:dyDescent="0.25">
      <c r="A81" s="20" t="str">
        <f t="shared" si="1"/>
        <v/>
      </c>
      <c r="B81" s="21"/>
      <c r="C81" s="22"/>
      <c r="D81" s="22"/>
      <c r="E81" s="22"/>
      <c r="F81" s="22"/>
      <c r="G81" s="22"/>
      <c r="H81" s="22"/>
      <c r="I81" s="22"/>
      <c r="J81" s="22"/>
      <c r="K81" s="22"/>
      <c r="L81" s="23"/>
      <c r="M81" s="24"/>
      <c r="N81" s="22"/>
      <c r="O81" s="15"/>
    </row>
    <row r="82" spans="1:15" x14ac:dyDescent="0.25">
      <c r="A82" s="20" t="str">
        <f t="shared" si="1"/>
        <v/>
      </c>
      <c r="B82" s="21"/>
      <c r="C82" s="22"/>
      <c r="D82" s="22"/>
      <c r="E82" s="22"/>
      <c r="F82" s="22"/>
      <c r="G82" s="22"/>
      <c r="H82" s="22"/>
      <c r="I82" s="22"/>
      <c r="J82" s="22"/>
      <c r="K82" s="22"/>
      <c r="L82" s="23"/>
      <c r="M82" s="24"/>
      <c r="N82" s="22"/>
      <c r="O82" s="15"/>
    </row>
    <row r="83" spans="1:15" x14ac:dyDescent="0.25">
      <c r="A83" s="20" t="str">
        <f t="shared" si="1"/>
        <v/>
      </c>
      <c r="B83" s="21"/>
      <c r="C83" s="22"/>
      <c r="D83" s="22"/>
      <c r="E83" s="22"/>
      <c r="F83" s="22"/>
      <c r="G83" s="22"/>
      <c r="H83" s="22"/>
      <c r="I83" s="22"/>
      <c r="J83" s="22"/>
      <c r="K83" s="22"/>
      <c r="L83" s="23"/>
      <c r="M83" s="24"/>
      <c r="N83" s="22"/>
      <c r="O83" s="15"/>
    </row>
    <row r="84" spans="1:15" x14ac:dyDescent="0.25">
      <c r="A84" s="20" t="str">
        <f t="shared" si="1"/>
        <v/>
      </c>
      <c r="B84" s="21"/>
      <c r="C84" s="22"/>
      <c r="D84" s="22"/>
      <c r="E84" s="22"/>
      <c r="F84" s="22"/>
      <c r="G84" s="22"/>
      <c r="H84" s="22"/>
      <c r="I84" s="22"/>
      <c r="J84" s="22"/>
      <c r="K84" s="22"/>
      <c r="L84" s="23"/>
      <c r="M84" s="24"/>
      <c r="N84" s="22"/>
      <c r="O84" s="15"/>
    </row>
    <row r="85" spans="1:15" x14ac:dyDescent="0.25">
      <c r="A85" s="20" t="str">
        <f t="shared" si="1"/>
        <v/>
      </c>
      <c r="B85" s="21"/>
      <c r="C85" s="22"/>
      <c r="D85" s="22"/>
      <c r="E85" s="22"/>
      <c r="F85" s="22"/>
      <c r="G85" s="22"/>
      <c r="H85" s="22"/>
      <c r="I85" s="22"/>
      <c r="J85" s="22"/>
      <c r="K85" s="22"/>
      <c r="L85" s="23"/>
      <c r="M85" s="24"/>
      <c r="N85" s="22"/>
      <c r="O85" s="15"/>
    </row>
    <row r="86" spans="1:15" x14ac:dyDescent="0.25">
      <c r="A86" s="20" t="str">
        <f t="shared" si="1"/>
        <v/>
      </c>
      <c r="B86" s="21"/>
      <c r="C86" s="22"/>
      <c r="D86" s="22"/>
      <c r="E86" s="22"/>
      <c r="F86" s="22"/>
      <c r="G86" s="22"/>
      <c r="H86" s="22"/>
      <c r="I86" s="22"/>
      <c r="J86" s="22"/>
      <c r="K86" s="22"/>
      <c r="L86" s="23"/>
      <c r="M86" s="24"/>
      <c r="N86" s="22"/>
      <c r="O86" s="15"/>
    </row>
    <row r="87" spans="1:15" x14ac:dyDescent="0.25">
      <c r="A87" s="20" t="str">
        <f t="shared" si="1"/>
        <v/>
      </c>
      <c r="B87" s="21"/>
      <c r="C87" s="22"/>
      <c r="D87" s="22"/>
      <c r="E87" s="22"/>
      <c r="F87" s="22"/>
      <c r="G87" s="22"/>
      <c r="H87" s="22"/>
      <c r="I87" s="22"/>
      <c r="J87" s="22"/>
      <c r="K87" s="22"/>
      <c r="L87" s="23"/>
      <c r="M87" s="24"/>
      <c r="N87" s="22"/>
      <c r="O87" s="15"/>
    </row>
    <row r="88" spans="1:15" x14ac:dyDescent="0.25">
      <c r="A88" s="20" t="str">
        <f t="shared" si="1"/>
        <v/>
      </c>
      <c r="B88" s="21"/>
      <c r="C88" s="22"/>
      <c r="D88" s="22"/>
      <c r="E88" s="22"/>
      <c r="F88" s="22"/>
      <c r="G88" s="22"/>
      <c r="H88" s="22"/>
      <c r="I88" s="22"/>
      <c r="J88" s="22"/>
      <c r="K88" s="22"/>
      <c r="L88" s="23"/>
      <c r="M88" s="24"/>
      <c r="N88" s="22"/>
      <c r="O88" s="15"/>
    </row>
    <row r="89" spans="1:15" x14ac:dyDescent="0.25">
      <c r="A89" s="20" t="str">
        <f t="shared" si="1"/>
        <v/>
      </c>
      <c r="B89" s="21"/>
      <c r="C89" s="22"/>
      <c r="D89" s="22"/>
      <c r="E89" s="22"/>
      <c r="F89" s="22"/>
      <c r="G89" s="22"/>
      <c r="H89" s="22"/>
      <c r="I89" s="22"/>
      <c r="J89" s="22"/>
      <c r="K89" s="22"/>
      <c r="L89" s="23"/>
      <c r="M89" s="24"/>
      <c r="N89" s="22"/>
      <c r="O89" s="15"/>
    </row>
    <row r="90" spans="1:15" x14ac:dyDescent="0.25">
      <c r="A90" s="20" t="str">
        <f t="shared" si="1"/>
        <v/>
      </c>
      <c r="B90" s="21"/>
      <c r="C90" s="22"/>
      <c r="D90" s="22"/>
      <c r="E90" s="22"/>
      <c r="F90" s="22"/>
      <c r="G90" s="22"/>
      <c r="H90" s="22"/>
      <c r="I90" s="22"/>
      <c r="J90" s="22"/>
      <c r="K90" s="22"/>
      <c r="L90" s="23"/>
      <c r="M90" s="24"/>
      <c r="N90" s="22"/>
      <c r="O90" s="15"/>
    </row>
    <row r="91" spans="1:15" x14ac:dyDescent="0.25">
      <c r="A91" s="20" t="str">
        <f t="shared" si="1"/>
        <v/>
      </c>
      <c r="B91" s="21"/>
      <c r="C91" s="22"/>
      <c r="D91" s="22"/>
      <c r="E91" s="22"/>
      <c r="F91" s="22"/>
      <c r="G91" s="22"/>
      <c r="H91" s="22"/>
      <c r="I91" s="22"/>
      <c r="J91" s="22"/>
      <c r="K91" s="22"/>
      <c r="L91" s="23"/>
      <c r="M91" s="24"/>
      <c r="N91" s="22"/>
      <c r="O91" s="15"/>
    </row>
    <row r="92" spans="1:15" x14ac:dyDescent="0.25">
      <c r="A92" s="20" t="str">
        <f t="shared" si="1"/>
        <v/>
      </c>
      <c r="B92" s="21"/>
      <c r="C92" s="22"/>
      <c r="D92" s="22"/>
      <c r="E92" s="22"/>
      <c r="F92" s="22"/>
      <c r="G92" s="22"/>
      <c r="H92" s="22"/>
      <c r="I92" s="22"/>
      <c r="J92" s="22"/>
      <c r="K92" s="22"/>
      <c r="L92" s="23"/>
      <c r="M92" s="24"/>
      <c r="N92" s="22"/>
      <c r="O92" s="15"/>
    </row>
    <row r="93" spans="1:15" x14ac:dyDescent="0.25">
      <c r="A93" s="20" t="str">
        <f t="shared" si="1"/>
        <v/>
      </c>
      <c r="B93" s="21"/>
      <c r="C93" s="22"/>
      <c r="D93" s="22"/>
      <c r="E93" s="22"/>
      <c r="F93" s="22"/>
      <c r="G93" s="22"/>
      <c r="H93" s="22"/>
      <c r="I93" s="22"/>
      <c r="J93" s="22"/>
      <c r="K93" s="22"/>
      <c r="L93" s="23"/>
      <c r="M93" s="24"/>
      <c r="N93" s="22"/>
      <c r="O93" s="15"/>
    </row>
    <row r="94" spans="1:15" x14ac:dyDescent="0.25">
      <c r="A94" s="20" t="str">
        <f t="shared" si="1"/>
        <v/>
      </c>
      <c r="B94" s="21"/>
      <c r="C94" s="22"/>
      <c r="D94" s="22"/>
      <c r="E94" s="22"/>
      <c r="F94" s="22"/>
      <c r="G94" s="22"/>
      <c r="H94" s="22"/>
      <c r="I94" s="22"/>
      <c r="J94" s="22"/>
      <c r="K94" s="22"/>
      <c r="L94" s="23"/>
      <c r="M94" s="24"/>
      <c r="N94" s="22"/>
      <c r="O94" s="15"/>
    </row>
    <row r="95" spans="1:15" x14ac:dyDescent="0.25">
      <c r="A95" s="20" t="str">
        <f t="shared" si="1"/>
        <v/>
      </c>
      <c r="B95" s="21"/>
      <c r="C95" s="22"/>
      <c r="D95" s="22"/>
      <c r="E95" s="22"/>
      <c r="F95" s="22"/>
      <c r="G95" s="22"/>
      <c r="H95" s="22"/>
      <c r="I95" s="22"/>
      <c r="J95" s="22"/>
      <c r="K95" s="22"/>
      <c r="L95" s="23"/>
      <c r="M95" s="24"/>
      <c r="N95" s="22"/>
      <c r="O95" s="15"/>
    </row>
    <row r="96" spans="1:15" x14ac:dyDescent="0.25">
      <c r="A96" s="20" t="str">
        <f t="shared" si="1"/>
        <v/>
      </c>
      <c r="B96" s="21"/>
      <c r="C96" s="22"/>
      <c r="D96" s="22"/>
      <c r="E96" s="22"/>
      <c r="F96" s="22"/>
      <c r="G96" s="22"/>
      <c r="H96" s="22"/>
      <c r="I96" s="22"/>
      <c r="J96" s="22"/>
      <c r="K96" s="22"/>
      <c r="L96" s="23"/>
      <c r="M96" s="24"/>
      <c r="N96" s="22"/>
      <c r="O96" s="15"/>
    </row>
    <row r="97" spans="1:15" x14ac:dyDescent="0.25">
      <c r="A97" s="20" t="str">
        <f t="shared" si="1"/>
        <v/>
      </c>
      <c r="B97" s="21"/>
      <c r="C97" s="22"/>
      <c r="D97" s="22"/>
      <c r="E97" s="22"/>
      <c r="F97" s="22"/>
      <c r="G97" s="22"/>
      <c r="H97" s="22"/>
      <c r="I97" s="22"/>
      <c r="J97" s="22"/>
      <c r="K97" s="22"/>
      <c r="L97" s="23"/>
      <c r="M97" s="24"/>
      <c r="N97" s="22"/>
      <c r="O97" s="15"/>
    </row>
    <row r="98" spans="1:15" x14ac:dyDescent="0.25">
      <c r="A98" s="20" t="str">
        <f t="shared" si="1"/>
        <v/>
      </c>
      <c r="B98" s="21"/>
      <c r="C98" s="22"/>
      <c r="D98" s="22"/>
      <c r="E98" s="22"/>
      <c r="F98" s="22"/>
      <c r="G98" s="22"/>
      <c r="H98" s="22"/>
      <c r="I98" s="22"/>
      <c r="J98" s="22"/>
      <c r="K98" s="22"/>
      <c r="L98" s="23"/>
      <c r="M98" s="24"/>
      <c r="N98" s="22"/>
      <c r="O98" s="15"/>
    </row>
    <row r="99" spans="1:15" x14ac:dyDescent="0.25">
      <c r="A99" s="20" t="str">
        <f t="shared" si="1"/>
        <v/>
      </c>
      <c r="B99" s="21"/>
      <c r="C99" s="22"/>
      <c r="D99" s="22"/>
      <c r="E99" s="22"/>
      <c r="F99" s="22"/>
      <c r="G99" s="22"/>
      <c r="H99" s="22"/>
      <c r="I99" s="22"/>
      <c r="J99" s="22"/>
      <c r="K99" s="22"/>
      <c r="L99" s="23"/>
      <c r="M99" s="24"/>
      <c r="N99" s="22"/>
      <c r="O99" s="15"/>
    </row>
    <row r="100" spans="1:15" x14ac:dyDescent="0.25">
      <c r="A100" s="20" t="str">
        <f t="shared" si="1"/>
        <v/>
      </c>
      <c r="B100" s="21"/>
      <c r="C100" s="22"/>
      <c r="D100" s="22"/>
      <c r="E100" s="22"/>
      <c r="F100" s="22"/>
      <c r="G100" s="22"/>
      <c r="H100" s="22"/>
      <c r="I100" s="22"/>
      <c r="J100" s="22"/>
      <c r="K100" s="22"/>
      <c r="L100" s="23"/>
      <c r="M100" s="24"/>
      <c r="N100" s="22"/>
      <c r="O100" s="15"/>
    </row>
    <row r="101" spans="1:15" x14ac:dyDescent="0.25">
      <c r="A101" s="20" t="str">
        <f t="shared" si="1"/>
        <v/>
      </c>
      <c r="B101" s="21"/>
      <c r="C101" s="22"/>
      <c r="D101" s="22"/>
      <c r="E101" s="22"/>
      <c r="F101" s="22"/>
      <c r="G101" s="22"/>
      <c r="H101" s="22"/>
      <c r="I101" s="22"/>
      <c r="J101" s="22"/>
      <c r="K101" s="22"/>
      <c r="L101" s="23"/>
      <c r="M101" s="24"/>
      <c r="N101" s="22"/>
      <c r="O101" s="15"/>
    </row>
    <row r="102" spans="1:15" x14ac:dyDescent="0.25">
      <c r="A102" s="20" t="str">
        <f t="shared" si="1"/>
        <v/>
      </c>
      <c r="B102" s="21"/>
      <c r="C102" s="22"/>
      <c r="D102" s="22"/>
      <c r="E102" s="22"/>
      <c r="F102" s="22"/>
      <c r="G102" s="22"/>
      <c r="H102" s="22"/>
      <c r="I102" s="22"/>
      <c r="J102" s="22"/>
      <c r="K102" s="22"/>
      <c r="L102" s="23"/>
      <c r="M102" s="24"/>
      <c r="N102" s="22"/>
      <c r="O102" s="15"/>
    </row>
    <row r="103" spans="1:15" x14ac:dyDescent="0.25">
      <c r="A103" s="20" t="str">
        <f t="shared" si="1"/>
        <v/>
      </c>
      <c r="B103" s="21"/>
      <c r="C103" s="22"/>
      <c r="D103" s="22"/>
      <c r="E103" s="22"/>
      <c r="F103" s="22"/>
      <c r="G103" s="22"/>
      <c r="H103" s="22"/>
      <c r="I103" s="22"/>
      <c r="J103" s="22"/>
      <c r="K103" s="22"/>
      <c r="L103" s="23"/>
      <c r="M103" s="24"/>
      <c r="N103" s="22"/>
      <c r="O103" s="15"/>
    </row>
    <row r="104" spans="1:15" x14ac:dyDescent="0.25">
      <c r="A104" s="20" t="str">
        <f t="shared" si="1"/>
        <v/>
      </c>
      <c r="B104" s="21"/>
      <c r="C104" s="22"/>
      <c r="D104" s="22"/>
      <c r="E104" s="22"/>
      <c r="F104" s="22"/>
      <c r="G104" s="22"/>
      <c r="H104" s="22"/>
      <c r="I104" s="22"/>
      <c r="J104" s="22"/>
      <c r="K104" s="22"/>
      <c r="L104" s="23"/>
      <c r="M104" s="24"/>
      <c r="N104" s="22"/>
      <c r="O104" s="15"/>
    </row>
    <row r="105" spans="1:15" x14ac:dyDescent="0.25">
      <c r="A105" s="20" t="str">
        <f t="shared" si="1"/>
        <v/>
      </c>
      <c r="B105" s="21"/>
      <c r="C105" s="22"/>
      <c r="D105" s="22"/>
      <c r="E105" s="22"/>
      <c r="F105" s="22"/>
      <c r="G105" s="22"/>
      <c r="H105" s="22"/>
      <c r="I105" s="22"/>
      <c r="J105" s="22"/>
      <c r="K105" s="22"/>
      <c r="L105" s="23"/>
      <c r="M105" s="24"/>
      <c r="N105" s="22"/>
      <c r="O105" s="15"/>
    </row>
    <row r="106" spans="1:15" x14ac:dyDescent="0.25">
      <c r="A106" s="20" t="str">
        <f t="shared" si="1"/>
        <v/>
      </c>
      <c r="B106" s="21"/>
      <c r="C106" s="22"/>
      <c r="D106" s="22"/>
      <c r="E106" s="22"/>
      <c r="F106" s="22"/>
      <c r="G106" s="22"/>
      <c r="H106" s="22"/>
      <c r="I106" s="22"/>
      <c r="J106" s="22"/>
      <c r="K106" s="22"/>
      <c r="L106" s="23"/>
      <c r="M106" s="24"/>
      <c r="N106" s="22"/>
      <c r="O106" s="15"/>
    </row>
    <row r="107" spans="1:15" x14ac:dyDescent="0.25">
      <c r="A107" s="20" t="str">
        <f t="shared" si="1"/>
        <v/>
      </c>
      <c r="B107" s="21"/>
      <c r="C107" s="22"/>
      <c r="D107" s="22"/>
      <c r="E107" s="22"/>
      <c r="F107" s="22"/>
      <c r="G107" s="22"/>
      <c r="H107" s="22"/>
      <c r="I107" s="22"/>
      <c r="J107" s="22"/>
      <c r="K107" s="22"/>
      <c r="L107" s="23"/>
      <c r="M107" s="24"/>
      <c r="N107" s="22"/>
      <c r="O107" s="15"/>
    </row>
    <row r="108" spans="1:15" x14ac:dyDescent="0.25">
      <c r="A108" s="20" t="str">
        <f t="shared" si="1"/>
        <v/>
      </c>
      <c r="B108" s="21"/>
      <c r="C108" s="22"/>
      <c r="D108" s="22"/>
      <c r="E108" s="22"/>
      <c r="F108" s="22"/>
      <c r="G108" s="22"/>
      <c r="H108" s="22"/>
      <c r="I108" s="22"/>
      <c r="J108" s="22"/>
      <c r="K108" s="22"/>
      <c r="L108" s="23"/>
      <c r="M108" s="24"/>
      <c r="N108" s="22"/>
      <c r="O108" s="15"/>
    </row>
    <row r="109" spans="1:15" x14ac:dyDescent="0.25">
      <c r="A109" s="20" t="str">
        <f t="shared" si="1"/>
        <v/>
      </c>
      <c r="B109" s="21"/>
      <c r="C109" s="22"/>
      <c r="D109" s="22"/>
      <c r="E109" s="22"/>
      <c r="F109" s="22"/>
      <c r="G109" s="22"/>
      <c r="H109" s="22"/>
      <c r="I109" s="22"/>
      <c r="J109" s="22"/>
      <c r="K109" s="22"/>
      <c r="L109" s="23"/>
      <c r="M109" s="24"/>
      <c r="N109" s="22"/>
      <c r="O109" s="15"/>
    </row>
    <row r="110" spans="1:15" x14ac:dyDescent="0.25">
      <c r="A110" s="20" t="str">
        <f t="shared" si="1"/>
        <v/>
      </c>
      <c r="B110" s="21"/>
      <c r="C110" s="22"/>
      <c r="D110" s="22"/>
      <c r="E110" s="22"/>
      <c r="F110" s="22"/>
      <c r="G110" s="22"/>
      <c r="H110" s="22"/>
      <c r="I110" s="22"/>
      <c r="J110" s="22"/>
      <c r="K110" s="22"/>
      <c r="L110" s="23"/>
      <c r="M110" s="24"/>
      <c r="N110" s="22"/>
      <c r="O110" s="15"/>
    </row>
    <row r="111" spans="1:15" x14ac:dyDescent="0.25">
      <c r="A111" s="20" t="str">
        <f t="shared" si="1"/>
        <v/>
      </c>
      <c r="B111" s="21"/>
      <c r="C111" s="22"/>
      <c r="D111" s="22"/>
      <c r="E111" s="22"/>
      <c r="F111" s="22"/>
      <c r="G111" s="22"/>
      <c r="H111" s="22"/>
      <c r="I111" s="22"/>
      <c r="J111" s="22"/>
      <c r="K111" s="22"/>
      <c r="L111" s="23"/>
      <c r="M111" s="24"/>
      <c r="N111" s="22"/>
      <c r="O111" s="15"/>
    </row>
    <row r="112" spans="1:15" x14ac:dyDescent="0.25">
      <c r="A112" s="20" t="str">
        <f t="shared" si="1"/>
        <v/>
      </c>
      <c r="B112" s="21"/>
      <c r="C112" s="22"/>
      <c r="D112" s="22"/>
      <c r="E112" s="22"/>
      <c r="F112" s="22"/>
      <c r="G112" s="22"/>
      <c r="H112" s="22"/>
      <c r="I112" s="22"/>
      <c r="J112" s="22"/>
      <c r="K112" s="22"/>
      <c r="L112" s="23"/>
      <c r="M112" s="24"/>
      <c r="N112" s="22"/>
      <c r="O112" s="15"/>
    </row>
    <row r="113" spans="1:15" x14ac:dyDescent="0.25">
      <c r="A113" s="20" t="str">
        <f t="shared" si="1"/>
        <v/>
      </c>
      <c r="B113" s="21"/>
      <c r="C113" s="22"/>
      <c r="D113" s="22"/>
      <c r="E113" s="22"/>
      <c r="F113" s="22"/>
      <c r="G113" s="22"/>
      <c r="H113" s="22"/>
      <c r="I113" s="22"/>
      <c r="J113" s="22"/>
      <c r="K113" s="22"/>
      <c r="L113" s="23"/>
      <c r="M113" s="24"/>
      <c r="N113" s="22"/>
      <c r="O113" s="15"/>
    </row>
    <row r="114" spans="1:15" x14ac:dyDescent="0.25">
      <c r="A114" s="20" t="str">
        <f t="shared" si="1"/>
        <v/>
      </c>
      <c r="B114" s="21"/>
      <c r="C114" s="22"/>
      <c r="D114" s="22"/>
      <c r="E114" s="22"/>
      <c r="F114" s="22"/>
      <c r="G114" s="22"/>
      <c r="H114" s="22"/>
      <c r="I114" s="22"/>
      <c r="J114" s="22"/>
      <c r="K114" s="22"/>
      <c r="L114" s="23"/>
      <c r="M114" s="24"/>
      <c r="N114" s="22"/>
      <c r="O114" s="15"/>
    </row>
    <row r="115" spans="1:15" x14ac:dyDescent="0.25">
      <c r="A115" s="20" t="str">
        <f t="shared" si="1"/>
        <v/>
      </c>
      <c r="B115" s="21"/>
      <c r="C115" s="22"/>
      <c r="D115" s="22"/>
      <c r="E115" s="22"/>
      <c r="F115" s="22"/>
      <c r="G115" s="22"/>
      <c r="H115" s="22"/>
      <c r="I115" s="22"/>
      <c r="J115" s="22"/>
      <c r="K115" s="22"/>
      <c r="L115" s="23"/>
      <c r="M115" s="24"/>
      <c r="N115" s="22"/>
      <c r="O115" s="15"/>
    </row>
    <row r="116" spans="1:15" x14ac:dyDescent="0.25">
      <c r="A116" s="20" t="str">
        <f t="shared" si="1"/>
        <v/>
      </c>
      <c r="B116" s="21"/>
      <c r="C116" s="22"/>
      <c r="D116" s="22"/>
      <c r="E116" s="22"/>
      <c r="F116" s="22"/>
      <c r="G116" s="22"/>
      <c r="H116" s="22"/>
      <c r="I116" s="22"/>
      <c r="J116" s="22"/>
      <c r="K116" s="22"/>
      <c r="L116" s="23"/>
      <c r="M116" s="24"/>
      <c r="N116" s="22"/>
      <c r="O116" s="15"/>
    </row>
    <row r="117" spans="1:15" x14ac:dyDescent="0.25">
      <c r="A117" s="20" t="str">
        <f t="shared" si="1"/>
        <v/>
      </c>
      <c r="B117" s="21"/>
      <c r="C117" s="22"/>
      <c r="D117" s="22"/>
      <c r="E117" s="22"/>
      <c r="F117" s="22"/>
      <c r="G117" s="22"/>
      <c r="H117" s="22"/>
      <c r="I117" s="22"/>
      <c r="J117" s="22"/>
      <c r="K117" s="22"/>
      <c r="L117" s="23"/>
      <c r="M117" s="24"/>
      <c r="N117" s="22"/>
      <c r="O117" s="15"/>
    </row>
    <row r="118" spans="1:15" x14ac:dyDescent="0.25">
      <c r="A118" s="20" t="str">
        <f t="shared" si="1"/>
        <v/>
      </c>
      <c r="B118" s="21"/>
      <c r="C118" s="22"/>
      <c r="D118" s="22"/>
      <c r="E118" s="22"/>
      <c r="F118" s="22"/>
      <c r="G118" s="22"/>
      <c r="H118" s="22"/>
      <c r="I118" s="22"/>
      <c r="J118" s="22"/>
      <c r="K118" s="22"/>
      <c r="L118" s="23"/>
      <c r="M118" s="24"/>
      <c r="N118" s="22"/>
      <c r="O118" s="15"/>
    </row>
    <row r="119" spans="1:15" x14ac:dyDescent="0.25">
      <c r="A119" s="20" t="str">
        <f t="shared" si="1"/>
        <v/>
      </c>
      <c r="B119" s="21"/>
      <c r="C119" s="22"/>
      <c r="D119" s="22"/>
      <c r="E119" s="22"/>
      <c r="F119" s="22"/>
      <c r="G119" s="22"/>
      <c r="H119" s="22"/>
      <c r="I119" s="22"/>
      <c r="J119" s="22"/>
      <c r="K119" s="22"/>
      <c r="L119" s="23"/>
      <c r="M119" s="24"/>
      <c r="N119" s="22"/>
      <c r="O119" s="15"/>
    </row>
    <row r="120" spans="1:15" x14ac:dyDescent="0.25">
      <c r="A120" s="20" t="str">
        <f t="shared" si="1"/>
        <v/>
      </c>
      <c r="B120" s="21"/>
      <c r="C120" s="22"/>
      <c r="D120" s="22"/>
      <c r="E120" s="22"/>
      <c r="F120" s="22"/>
      <c r="G120" s="22"/>
      <c r="H120" s="22"/>
      <c r="I120" s="22"/>
      <c r="J120" s="22"/>
      <c r="K120" s="22"/>
      <c r="L120" s="23"/>
      <c r="M120" s="24"/>
      <c r="N120" s="22"/>
      <c r="O120" s="15"/>
    </row>
    <row r="121" spans="1:15" x14ac:dyDescent="0.25">
      <c r="A121" s="20" t="str">
        <f t="shared" si="1"/>
        <v/>
      </c>
      <c r="B121" s="21"/>
      <c r="C121" s="22"/>
      <c r="D121" s="22"/>
      <c r="E121" s="22"/>
      <c r="F121" s="22"/>
      <c r="G121" s="22"/>
      <c r="H121" s="22"/>
      <c r="I121" s="22"/>
      <c r="J121" s="22"/>
      <c r="K121" s="22"/>
      <c r="L121" s="23"/>
      <c r="M121" s="24"/>
      <c r="N121" s="22"/>
      <c r="O121" s="15"/>
    </row>
    <row r="122" spans="1:15" x14ac:dyDescent="0.25">
      <c r="A122" s="20" t="str">
        <f t="shared" si="1"/>
        <v/>
      </c>
      <c r="B122" s="21"/>
      <c r="C122" s="22"/>
      <c r="D122" s="22"/>
      <c r="E122" s="22"/>
      <c r="F122" s="22"/>
      <c r="G122" s="22"/>
      <c r="H122" s="22"/>
      <c r="I122" s="22"/>
      <c r="J122" s="22"/>
      <c r="K122" s="22"/>
      <c r="L122" s="23"/>
      <c r="M122" s="24"/>
      <c r="N122" s="22"/>
      <c r="O122" s="15"/>
    </row>
    <row r="123" spans="1:15" x14ac:dyDescent="0.25">
      <c r="A123" s="20" t="str">
        <f t="shared" si="1"/>
        <v/>
      </c>
      <c r="B123" s="21"/>
      <c r="C123" s="22"/>
      <c r="D123" s="22"/>
      <c r="E123" s="22"/>
      <c r="F123" s="22"/>
      <c r="G123" s="22"/>
      <c r="H123" s="22"/>
      <c r="I123" s="22"/>
      <c r="J123" s="22"/>
      <c r="K123" s="22"/>
      <c r="L123" s="23"/>
      <c r="M123" s="24"/>
      <c r="N123" s="22"/>
      <c r="O123" s="15"/>
    </row>
    <row r="124" spans="1:15" x14ac:dyDescent="0.25">
      <c r="A124" s="20" t="str">
        <f t="shared" si="1"/>
        <v/>
      </c>
      <c r="B124" s="21"/>
      <c r="C124" s="22"/>
      <c r="D124" s="22"/>
      <c r="E124" s="22"/>
      <c r="F124" s="22"/>
      <c r="G124" s="22"/>
      <c r="H124" s="22"/>
      <c r="I124" s="22"/>
      <c r="J124" s="22"/>
      <c r="K124" s="22"/>
      <c r="L124" s="23"/>
      <c r="M124" s="24"/>
      <c r="N124" s="22"/>
      <c r="O124" s="15"/>
    </row>
    <row r="125" spans="1:15" x14ac:dyDescent="0.25">
      <c r="A125" s="20" t="str">
        <f t="shared" si="1"/>
        <v/>
      </c>
      <c r="B125" s="21"/>
      <c r="C125" s="22"/>
      <c r="D125" s="22"/>
      <c r="E125" s="22"/>
      <c r="F125" s="22"/>
      <c r="G125" s="22"/>
      <c r="H125" s="22"/>
      <c r="I125" s="22"/>
      <c r="J125" s="22"/>
      <c r="K125" s="22"/>
      <c r="L125" s="23"/>
      <c r="M125" s="24"/>
      <c r="N125" s="22"/>
      <c r="O125" s="15"/>
    </row>
    <row r="126" spans="1:15" x14ac:dyDescent="0.25">
      <c r="A126" s="20" t="str">
        <f t="shared" si="1"/>
        <v/>
      </c>
      <c r="B126" s="21"/>
      <c r="C126" s="22"/>
      <c r="D126" s="22"/>
      <c r="E126" s="22"/>
      <c r="F126" s="22"/>
      <c r="G126" s="22"/>
      <c r="H126" s="22"/>
      <c r="I126" s="22"/>
      <c r="J126" s="22"/>
      <c r="K126" s="22"/>
      <c r="L126" s="23"/>
      <c r="M126" s="24"/>
      <c r="N126" s="22"/>
      <c r="O126" s="15"/>
    </row>
    <row r="127" spans="1:15" x14ac:dyDescent="0.25">
      <c r="A127" s="20" t="str">
        <f t="shared" si="1"/>
        <v/>
      </c>
      <c r="B127" s="21"/>
      <c r="C127" s="22"/>
      <c r="D127" s="22"/>
      <c r="E127" s="22"/>
      <c r="F127" s="22"/>
      <c r="G127" s="22"/>
      <c r="H127" s="22"/>
      <c r="I127" s="22"/>
      <c r="J127" s="22"/>
      <c r="K127" s="22"/>
      <c r="L127" s="23"/>
      <c r="M127" s="24"/>
      <c r="N127" s="22"/>
      <c r="O127" s="15"/>
    </row>
    <row r="128" spans="1:15" x14ac:dyDescent="0.25">
      <c r="A128" s="20" t="str">
        <f t="shared" si="1"/>
        <v/>
      </c>
      <c r="B128" s="21"/>
      <c r="C128" s="22"/>
      <c r="D128" s="22"/>
      <c r="E128" s="22"/>
      <c r="F128" s="22"/>
      <c r="G128" s="22"/>
      <c r="H128" s="22"/>
      <c r="I128" s="22"/>
      <c r="J128" s="22"/>
      <c r="K128" s="22"/>
      <c r="L128" s="23"/>
      <c r="M128" s="24"/>
      <c r="N128" s="22"/>
      <c r="O128" s="15"/>
    </row>
    <row r="129" spans="1:15" x14ac:dyDescent="0.25">
      <c r="A129" s="20" t="str">
        <f t="shared" si="1"/>
        <v/>
      </c>
      <c r="B129" s="21"/>
      <c r="C129" s="22"/>
      <c r="D129" s="22"/>
      <c r="E129" s="22"/>
      <c r="F129" s="22"/>
      <c r="G129" s="22"/>
      <c r="H129" s="22"/>
      <c r="I129" s="22"/>
      <c r="J129" s="22"/>
      <c r="K129" s="22"/>
      <c r="L129" s="23"/>
      <c r="M129" s="24"/>
      <c r="N129" s="22"/>
      <c r="O129" s="15"/>
    </row>
    <row r="130" spans="1:15" x14ac:dyDescent="0.25">
      <c r="A130" s="20" t="str">
        <f t="shared" ref="A130:A193" si="2">IF(AND(B130="",D130=""),"",ROW()-1)</f>
        <v/>
      </c>
      <c r="B130" s="21"/>
      <c r="C130" s="22"/>
      <c r="D130" s="22"/>
      <c r="E130" s="22"/>
      <c r="F130" s="22"/>
      <c r="G130" s="22"/>
      <c r="H130" s="22"/>
      <c r="I130" s="22"/>
      <c r="J130" s="22"/>
      <c r="K130" s="22"/>
      <c r="L130" s="23"/>
      <c r="M130" s="24"/>
      <c r="N130" s="22"/>
      <c r="O130" s="15"/>
    </row>
    <row r="131" spans="1:15" x14ac:dyDescent="0.25">
      <c r="A131" s="20" t="str">
        <f t="shared" si="2"/>
        <v/>
      </c>
      <c r="B131" s="21"/>
      <c r="C131" s="22"/>
      <c r="D131" s="22"/>
      <c r="E131" s="22"/>
      <c r="F131" s="22"/>
      <c r="G131" s="22"/>
      <c r="H131" s="22"/>
      <c r="I131" s="22"/>
      <c r="J131" s="22"/>
      <c r="K131" s="22"/>
      <c r="L131" s="23"/>
      <c r="M131" s="24"/>
      <c r="N131" s="22"/>
      <c r="O131" s="15"/>
    </row>
    <row r="132" spans="1:15" x14ac:dyDescent="0.25">
      <c r="A132" s="20" t="str">
        <f t="shared" si="2"/>
        <v/>
      </c>
      <c r="B132" s="21"/>
      <c r="C132" s="22"/>
      <c r="D132" s="22"/>
      <c r="E132" s="22"/>
      <c r="F132" s="22"/>
      <c r="G132" s="22"/>
      <c r="H132" s="22"/>
      <c r="I132" s="22"/>
      <c r="J132" s="22"/>
      <c r="K132" s="22"/>
      <c r="L132" s="23"/>
      <c r="M132" s="24"/>
      <c r="N132" s="22"/>
      <c r="O132" s="15"/>
    </row>
    <row r="133" spans="1:15" x14ac:dyDescent="0.25">
      <c r="A133" s="20" t="str">
        <f t="shared" si="2"/>
        <v/>
      </c>
      <c r="B133" s="21"/>
      <c r="C133" s="22"/>
      <c r="D133" s="22"/>
      <c r="E133" s="22"/>
      <c r="F133" s="22"/>
      <c r="G133" s="22"/>
      <c r="H133" s="22"/>
      <c r="I133" s="22"/>
      <c r="J133" s="22"/>
      <c r="K133" s="22"/>
      <c r="L133" s="23"/>
      <c r="M133" s="24"/>
      <c r="N133" s="22"/>
      <c r="O133" s="15"/>
    </row>
    <row r="134" spans="1:15" x14ac:dyDescent="0.25">
      <c r="A134" s="20" t="str">
        <f t="shared" si="2"/>
        <v/>
      </c>
      <c r="B134" s="21"/>
      <c r="C134" s="22"/>
      <c r="D134" s="22"/>
      <c r="E134" s="22"/>
      <c r="F134" s="22"/>
      <c r="G134" s="22"/>
      <c r="H134" s="22"/>
      <c r="I134" s="22"/>
      <c r="J134" s="22"/>
      <c r="K134" s="22"/>
      <c r="L134" s="23"/>
      <c r="M134" s="24"/>
      <c r="N134" s="22"/>
      <c r="O134" s="15"/>
    </row>
    <row r="135" spans="1:15" x14ac:dyDescent="0.25">
      <c r="A135" s="20" t="str">
        <f t="shared" si="2"/>
        <v/>
      </c>
      <c r="B135" s="21"/>
      <c r="C135" s="22"/>
      <c r="D135" s="22"/>
      <c r="E135" s="22"/>
      <c r="F135" s="22"/>
      <c r="G135" s="22"/>
      <c r="H135" s="22"/>
      <c r="I135" s="22"/>
      <c r="J135" s="22"/>
      <c r="K135" s="22"/>
      <c r="L135" s="23"/>
      <c r="M135" s="24"/>
      <c r="N135" s="22"/>
      <c r="O135" s="15"/>
    </row>
    <row r="136" spans="1:15" x14ac:dyDescent="0.25">
      <c r="A136" s="20" t="str">
        <f t="shared" si="2"/>
        <v/>
      </c>
      <c r="B136" s="21"/>
      <c r="C136" s="22"/>
      <c r="D136" s="22"/>
      <c r="E136" s="22"/>
      <c r="F136" s="22"/>
      <c r="G136" s="22"/>
      <c r="H136" s="22"/>
      <c r="I136" s="22"/>
      <c r="J136" s="22"/>
      <c r="K136" s="22"/>
      <c r="L136" s="23"/>
      <c r="M136" s="24"/>
      <c r="N136" s="22"/>
      <c r="O136" s="15"/>
    </row>
    <row r="137" spans="1:15" x14ac:dyDescent="0.25">
      <c r="A137" s="20" t="str">
        <f t="shared" si="2"/>
        <v/>
      </c>
      <c r="B137" s="21"/>
      <c r="C137" s="22"/>
      <c r="D137" s="22"/>
      <c r="E137" s="22"/>
      <c r="F137" s="22"/>
      <c r="G137" s="22"/>
      <c r="H137" s="22"/>
      <c r="I137" s="22"/>
      <c r="J137" s="22"/>
      <c r="K137" s="22"/>
      <c r="L137" s="23"/>
      <c r="M137" s="24"/>
      <c r="N137" s="22"/>
      <c r="O137" s="15"/>
    </row>
    <row r="138" spans="1:15" x14ac:dyDescent="0.25">
      <c r="A138" s="20" t="str">
        <f t="shared" si="2"/>
        <v/>
      </c>
      <c r="B138" s="21"/>
      <c r="C138" s="22"/>
      <c r="D138" s="22"/>
      <c r="E138" s="22"/>
      <c r="F138" s="22"/>
      <c r="G138" s="22"/>
      <c r="H138" s="22"/>
      <c r="I138" s="22"/>
      <c r="J138" s="22"/>
      <c r="K138" s="22"/>
      <c r="L138" s="23"/>
      <c r="M138" s="24"/>
      <c r="N138" s="22"/>
      <c r="O138" s="15"/>
    </row>
    <row r="139" spans="1:15" x14ac:dyDescent="0.25">
      <c r="A139" s="20" t="str">
        <f t="shared" si="2"/>
        <v/>
      </c>
      <c r="B139" s="21"/>
      <c r="C139" s="22"/>
      <c r="D139" s="22"/>
      <c r="E139" s="22"/>
      <c r="F139" s="22"/>
      <c r="G139" s="22"/>
      <c r="H139" s="22"/>
      <c r="I139" s="22"/>
      <c r="J139" s="22"/>
      <c r="K139" s="22"/>
      <c r="L139" s="23"/>
      <c r="M139" s="24"/>
      <c r="N139" s="22"/>
      <c r="O139" s="15"/>
    </row>
    <row r="140" spans="1:15" x14ac:dyDescent="0.25">
      <c r="A140" s="20" t="str">
        <f t="shared" si="2"/>
        <v/>
      </c>
      <c r="B140" s="21"/>
      <c r="C140" s="22"/>
      <c r="D140" s="22"/>
      <c r="E140" s="22"/>
      <c r="F140" s="22"/>
      <c r="G140" s="22"/>
      <c r="H140" s="22"/>
      <c r="I140" s="22"/>
      <c r="J140" s="22"/>
      <c r="K140" s="22"/>
      <c r="L140" s="23"/>
      <c r="M140" s="24"/>
      <c r="N140" s="22"/>
      <c r="O140" s="15"/>
    </row>
    <row r="141" spans="1:15" x14ac:dyDescent="0.25">
      <c r="A141" s="20" t="str">
        <f t="shared" si="2"/>
        <v/>
      </c>
      <c r="B141" s="21"/>
      <c r="C141" s="22"/>
      <c r="D141" s="22"/>
      <c r="E141" s="22"/>
      <c r="F141" s="22"/>
      <c r="G141" s="22"/>
      <c r="H141" s="22"/>
      <c r="I141" s="22"/>
      <c r="J141" s="22"/>
      <c r="K141" s="22"/>
      <c r="L141" s="23"/>
      <c r="M141" s="24"/>
      <c r="N141" s="22"/>
      <c r="O141" s="15"/>
    </row>
    <row r="142" spans="1:15" x14ac:dyDescent="0.25">
      <c r="A142" s="20" t="str">
        <f t="shared" si="2"/>
        <v/>
      </c>
      <c r="B142" s="21"/>
      <c r="C142" s="22"/>
      <c r="D142" s="22"/>
      <c r="E142" s="22"/>
      <c r="F142" s="22"/>
      <c r="G142" s="22"/>
      <c r="H142" s="22"/>
      <c r="I142" s="22"/>
      <c r="J142" s="22"/>
      <c r="K142" s="22"/>
      <c r="L142" s="23"/>
      <c r="M142" s="24"/>
      <c r="N142" s="22"/>
      <c r="O142" s="15"/>
    </row>
    <row r="143" spans="1:15" x14ac:dyDescent="0.25">
      <c r="A143" s="20" t="str">
        <f t="shared" si="2"/>
        <v/>
      </c>
      <c r="B143" s="21"/>
      <c r="C143" s="22"/>
      <c r="D143" s="22"/>
      <c r="E143" s="22"/>
      <c r="F143" s="22"/>
      <c r="G143" s="22"/>
      <c r="H143" s="22"/>
      <c r="I143" s="22"/>
      <c r="J143" s="22"/>
      <c r="K143" s="22"/>
      <c r="L143" s="23"/>
      <c r="M143" s="24"/>
      <c r="N143" s="22"/>
      <c r="O143" s="15"/>
    </row>
    <row r="144" spans="1:15" x14ac:dyDescent="0.25">
      <c r="A144" s="20" t="str">
        <f t="shared" si="2"/>
        <v/>
      </c>
      <c r="B144" s="21"/>
      <c r="C144" s="22"/>
      <c r="D144" s="22"/>
      <c r="E144" s="22"/>
      <c r="F144" s="22"/>
      <c r="G144" s="22"/>
      <c r="H144" s="22"/>
      <c r="I144" s="22"/>
      <c r="J144" s="22"/>
      <c r="K144" s="22"/>
      <c r="L144" s="23"/>
      <c r="M144" s="24"/>
      <c r="N144" s="22"/>
      <c r="O144" s="15"/>
    </row>
    <row r="145" spans="1:15" x14ac:dyDescent="0.25">
      <c r="A145" s="20" t="str">
        <f t="shared" si="2"/>
        <v/>
      </c>
      <c r="B145" s="21"/>
      <c r="C145" s="22"/>
      <c r="D145" s="22"/>
      <c r="E145" s="22"/>
      <c r="F145" s="22"/>
      <c r="G145" s="22"/>
      <c r="H145" s="22"/>
      <c r="I145" s="22"/>
      <c r="J145" s="22"/>
      <c r="K145" s="22"/>
      <c r="L145" s="23"/>
      <c r="M145" s="24"/>
      <c r="N145" s="22"/>
      <c r="O145" s="15"/>
    </row>
    <row r="146" spans="1:15" x14ac:dyDescent="0.25">
      <c r="A146" s="20" t="str">
        <f t="shared" si="2"/>
        <v/>
      </c>
      <c r="B146" s="21"/>
      <c r="C146" s="22"/>
      <c r="D146" s="22"/>
      <c r="E146" s="22"/>
      <c r="F146" s="22"/>
      <c r="G146" s="22"/>
      <c r="H146" s="22"/>
      <c r="I146" s="22"/>
      <c r="J146" s="22"/>
      <c r="K146" s="22"/>
      <c r="L146" s="23"/>
      <c r="M146" s="24"/>
      <c r="N146" s="22"/>
      <c r="O146" s="15"/>
    </row>
    <row r="147" spans="1:15" x14ac:dyDescent="0.25">
      <c r="A147" s="20" t="str">
        <f t="shared" si="2"/>
        <v/>
      </c>
      <c r="B147" s="21"/>
      <c r="C147" s="22"/>
      <c r="D147" s="22"/>
      <c r="E147" s="22"/>
      <c r="F147" s="22"/>
      <c r="G147" s="22"/>
      <c r="H147" s="22"/>
      <c r="I147" s="22"/>
      <c r="J147" s="22"/>
      <c r="K147" s="22"/>
      <c r="L147" s="23"/>
      <c r="M147" s="24"/>
      <c r="N147" s="22"/>
      <c r="O147" s="15"/>
    </row>
    <row r="148" spans="1:15" x14ac:dyDescent="0.25">
      <c r="A148" s="20" t="str">
        <f t="shared" si="2"/>
        <v/>
      </c>
      <c r="B148" s="21"/>
      <c r="C148" s="22"/>
      <c r="D148" s="22"/>
      <c r="E148" s="22"/>
      <c r="F148" s="22"/>
      <c r="G148" s="22"/>
      <c r="H148" s="22"/>
      <c r="I148" s="22"/>
      <c r="J148" s="22"/>
      <c r="K148" s="22"/>
      <c r="L148" s="23"/>
      <c r="M148" s="24"/>
      <c r="N148" s="22"/>
      <c r="O148" s="15"/>
    </row>
    <row r="149" spans="1:15" x14ac:dyDescent="0.25">
      <c r="A149" s="20" t="str">
        <f t="shared" si="2"/>
        <v/>
      </c>
      <c r="B149" s="21"/>
      <c r="C149" s="22"/>
      <c r="D149" s="22"/>
      <c r="E149" s="22"/>
      <c r="F149" s="22"/>
      <c r="G149" s="22"/>
      <c r="H149" s="22"/>
      <c r="I149" s="22"/>
      <c r="J149" s="22"/>
      <c r="K149" s="22"/>
      <c r="L149" s="23"/>
      <c r="M149" s="24"/>
      <c r="N149" s="22"/>
      <c r="O149" s="15"/>
    </row>
    <row r="150" spans="1:15" x14ac:dyDescent="0.25">
      <c r="A150" s="20" t="str">
        <f t="shared" si="2"/>
        <v/>
      </c>
      <c r="B150" s="21"/>
      <c r="C150" s="22"/>
      <c r="D150" s="22"/>
      <c r="E150" s="22"/>
      <c r="F150" s="22"/>
      <c r="G150" s="22"/>
      <c r="H150" s="22"/>
      <c r="I150" s="22"/>
      <c r="J150" s="22"/>
      <c r="K150" s="22"/>
      <c r="L150" s="23"/>
      <c r="M150" s="24"/>
      <c r="N150" s="22"/>
      <c r="O150" s="15"/>
    </row>
    <row r="151" spans="1:15" x14ac:dyDescent="0.25">
      <c r="A151" s="20" t="str">
        <f t="shared" si="2"/>
        <v/>
      </c>
      <c r="B151" s="21"/>
      <c r="C151" s="22"/>
      <c r="D151" s="22"/>
      <c r="E151" s="22"/>
      <c r="F151" s="22"/>
      <c r="G151" s="22"/>
      <c r="H151" s="22"/>
      <c r="I151" s="22"/>
      <c r="J151" s="22"/>
      <c r="K151" s="22"/>
      <c r="L151" s="23"/>
      <c r="M151" s="24"/>
      <c r="N151" s="22"/>
      <c r="O151" s="15"/>
    </row>
    <row r="152" spans="1:15" x14ac:dyDescent="0.25">
      <c r="A152" s="20" t="str">
        <f t="shared" si="2"/>
        <v/>
      </c>
      <c r="B152" s="21"/>
      <c r="C152" s="22"/>
      <c r="D152" s="22"/>
      <c r="E152" s="22"/>
      <c r="F152" s="22"/>
      <c r="G152" s="22"/>
      <c r="H152" s="22"/>
      <c r="I152" s="22"/>
      <c r="J152" s="22"/>
      <c r="K152" s="22"/>
      <c r="L152" s="23"/>
      <c r="M152" s="24"/>
      <c r="N152" s="22"/>
      <c r="O152" s="15"/>
    </row>
    <row r="153" spans="1:15" x14ac:dyDescent="0.25">
      <c r="A153" s="20" t="str">
        <f t="shared" si="2"/>
        <v/>
      </c>
      <c r="B153" s="21"/>
      <c r="C153" s="22"/>
      <c r="D153" s="22"/>
      <c r="E153" s="22"/>
      <c r="F153" s="22"/>
      <c r="G153" s="22"/>
      <c r="H153" s="22"/>
      <c r="I153" s="22"/>
      <c r="J153" s="22"/>
      <c r="K153" s="22"/>
      <c r="L153" s="23"/>
      <c r="M153" s="24"/>
      <c r="N153" s="22"/>
      <c r="O153" s="15"/>
    </row>
    <row r="154" spans="1:15" x14ac:dyDescent="0.25">
      <c r="A154" s="20" t="str">
        <f t="shared" si="2"/>
        <v/>
      </c>
      <c r="B154" s="21"/>
      <c r="C154" s="22"/>
      <c r="D154" s="22"/>
      <c r="E154" s="22"/>
      <c r="F154" s="22"/>
      <c r="G154" s="22"/>
      <c r="H154" s="22"/>
      <c r="I154" s="22"/>
      <c r="J154" s="22"/>
      <c r="K154" s="22"/>
      <c r="L154" s="23"/>
      <c r="M154" s="24"/>
      <c r="N154" s="22"/>
      <c r="O154" s="15"/>
    </row>
    <row r="155" spans="1:15" x14ac:dyDescent="0.25">
      <c r="A155" s="20" t="str">
        <f t="shared" si="2"/>
        <v/>
      </c>
      <c r="B155" s="21"/>
      <c r="C155" s="22"/>
      <c r="D155" s="22"/>
      <c r="E155" s="22"/>
      <c r="F155" s="22"/>
      <c r="G155" s="22"/>
      <c r="H155" s="22"/>
      <c r="I155" s="22"/>
      <c r="J155" s="22"/>
      <c r="K155" s="22"/>
      <c r="L155" s="23"/>
      <c r="M155" s="24"/>
      <c r="N155" s="22"/>
      <c r="O155" s="15"/>
    </row>
    <row r="156" spans="1:15" x14ac:dyDescent="0.25">
      <c r="A156" s="20" t="str">
        <f t="shared" si="2"/>
        <v/>
      </c>
      <c r="B156" s="21"/>
      <c r="C156" s="22"/>
      <c r="D156" s="22"/>
      <c r="E156" s="22"/>
      <c r="F156" s="22"/>
      <c r="G156" s="22"/>
      <c r="H156" s="22"/>
      <c r="I156" s="22"/>
      <c r="J156" s="22"/>
      <c r="K156" s="22"/>
      <c r="L156" s="23"/>
      <c r="M156" s="24"/>
      <c r="N156" s="22"/>
      <c r="O156" s="15"/>
    </row>
    <row r="157" spans="1:15" x14ac:dyDescent="0.25">
      <c r="A157" s="20" t="str">
        <f t="shared" si="2"/>
        <v/>
      </c>
      <c r="B157" s="21"/>
      <c r="C157" s="22"/>
      <c r="D157" s="22"/>
      <c r="E157" s="22"/>
      <c r="F157" s="22"/>
      <c r="G157" s="22"/>
      <c r="H157" s="22"/>
      <c r="I157" s="22"/>
      <c r="J157" s="22"/>
      <c r="K157" s="22"/>
      <c r="L157" s="23"/>
      <c r="M157" s="24"/>
      <c r="N157" s="22"/>
      <c r="O157" s="15"/>
    </row>
    <row r="158" spans="1:15" x14ac:dyDescent="0.25">
      <c r="A158" s="20" t="str">
        <f t="shared" si="2"/>
        <v/>
      </c>
      <c r="B158" s="21"/>
      <c r="C158" s="22"/>
      <c r="D158" s="22"/>
      <c r="E158" s="22"/>
      <c r="F158" s="22"/>
      <c r="G158" s="22"/>
      <c r="H158" s="22"/>
      <c r="I158" s="22"/>
      <c r="J158" s="22"/>
      <c r="K158" s="22"/>
      <c r="L158" s="23"/>
      <c r="M158" s="24"/>
      <c r="N158" s="22"/>
      <c r="O158" s="15"/>
    </row>
    <row r="159" spans="1:15" x14ac:dyDescent="0.25">
      <c r="A159" s="20" t="str">
        <f t="shared" si="2"/>
        <v/>
      </c>
      <c r="B159" s="21"/>
      <c r="C159" s="22"/>
      <c r="D159" s="22"/>
      <c r="E159" s="22"/>
      <c r="F159" s="22"/>
      <c r="G159" s="22"/>
      <c r="H159" s="22"/>
      <c r="I159" s="22"/>
      <c r="J159" s="22"/>
      <c r="K159" s="22"/>
      <c r="L159" s="23"/>
      <c r="M159" s="24"/>
      <c r="N159" s="22"/>
      <c r="O159" s="15"/>
    </row>
    <row r="160" spans="1:15" x14ac:dyDescent="0.25">
      <c r="A160" s="20" t="str">
        <f t="shared" si="2"/>
        <v/>
      </c>
      <c r="B160" s="21"/>
      <c r="C160" s="22"/>
      <c r="D160" s="22"/>
      <c r="E160" s="22"/>
      <c r="F160" s="22"/>
      <c r="G160" s="22"/>
      <c r="H160" s="22"/>
      <c r="I160" s="22"/>
      <c r="J160" s="22"/>
      <c r="K160" s="22"/>
      <c r="L160" s="23"/>
      <c r="M160" s="24"/>
      <c r="N160" s="22"/>
      <c r="O160" s="15"/>
    </row>
    <row r="161" spans="1:15" x14ac:dyDescent="0.25">
      <c r="A161" s="20" t="str">
        <f t="shared" si="2"/>
        <v/>
      </c>
      <c r="B161" s="21"/>
      <c r="C161" s="22"/>
      <c r="D161" s="22"/>
      <c r="E161" s="22"/>
      <c r="F161" s="22"/>
      <c r="G161" s="22"/>
      <c r="H161" s="22"/>
      <c r="I161" s="22"/>
      <c r="J161" s="22"/>
      <c r="K161" s="22"/>
      <c r="L161" s="23"/>
      <c r="M161" s="24"/>
      <c r="N161" s="22"/>
      <c r="O161" s="15"/>
    </row>
    <row r="162" spans="1:15" x14ac:dyDescent="0.25">
      <c r="A162" s="20" t="str">
        <f t="shared" si="2"/>
        <v/>
      </c>
      <c r="B162" s="21"/>
      <c r="C162" s="22"/>
      <c r="D162" s="22"/>
      <c r="E162" s="22"/>
      <c r="F162" s="22"/>
      <c r="G162" s="22"/>
      <c r="H162" s="22"/>
      <c r="I162" s="22"/>
      <c r="J162" s="22"/>
      <c r="K162" s="22"/>
      <c r="L162" s="23"/>
      <c r="M162" s="24"/>
      <c r="N162" s="22"/>
      <c r="O162" s="15"/>
    </row>
    <row r="163" spans="1:15" x14ac:dyDescent="0.25">
      <c r="A163" s="20" t="str">
        <f t="shared" si="2"/>
        <v/>
      </c>
      <c r="B163" s="21"/>
      <c r="C163" s="22"/>
      <c r="D163" s="22"/>
      <c r="E163" s="22"/>
      <c r="F163" s="22"/>
      <c r="G163" s="22"/>
      <c r="H163" s="22"/>
      <c r="I163" s="22"/>
      <c r="J163" s="22"/>
      <c r="K163" s="22"/>
      <c r="L163" s="23"/>
      <c r="M163" s="24"/>
      <c r="N163" s="22"/>
      <c r="O163" s="15"/>
    </row>
    <row r="164" spans="1:15" x14ac:dyDescent="0.25">
      <c r="A164" s="20" t="str">
        <f t="shared" si="2"/>
        <v/>
      </c>
      <c r="B164" s="21"/>
      <c r="C164" s="22"/>
      <c r="D164" s="22"/>
      <c r="E164" s="22"/>
      <c r="F164" s="22"/>
      <c r="G164" s="22"/>
      <c r="H164" s="22"/>
      <c r="I164" s="22"/>
      <c r="J164" s="22"/>
      <c r="K164" s="22"/>
      <c r="L164" s="23"/>
      <c r="M164" s="24"/>
      <c r="N164" s="22"/>
      <c r="O164" s="15"/>
    </row>
    <row r="165" spans="1:15" x14ac:dyDescent="0.25">
      <c r="A165" s="20" t="str">
        <f t="shared" si="2"/>
        <v/>
      </c>
      <c r="B165" s="21"/>
      <c r="C165" s="22"/>
      <c r="D165" s="22"/>
      <c r="E165" s="22"/>
      <c r="F165" s="22"/>
      <c r="G165" s="22"/>
      <c r="H165" s="22"/>
      <c r="I165" s="22"/>
      <c r="J165" s="22"/>
      <c r="K165" s="22"/>
      <c r="L165" s="23"/>
      <c r="M165" s="24"/>
      <c r="N165" s="22"/>
      <c r="O165" s="15"/>
    </row>
    <row r="166" spans="1:15" x14ac:dyDescent="0.25">
      <c r="A166" s="20" t="str">
        <f t="shared" si="2"/>
        <v/>
      </c>
      <c r="B166" s="21"/>
      <c r="C166" s="22"/>
      <c r="D166" s="22"/>
      <c r="E166" s="22"/>
      <c r="F166" s="22"/>
      <c r="G166" s="22"/>
      <c r="H166" s="22"/>
      <c r="I166" s="22"/>
      <c r="J166" s="22"/>
      <c r="K166" s="22"/>
      <c r="L166" s="23"/>
      <c r="M166" s="24"/>
      <c r="N166" s="22"/>
      <c r="O166" s="15"/>
    </row>
    <row r="167" spans="1:15" x14ac:dyDescent="0.25">
      <c r="A167" s="20" t="str">
        <f t="shared" si="2"/>
        <v/>
      </c>
      <c r="B167" s="21"/>
      <c r="C167" s="22"/>
      <c r="D167" s="22"/>
      <c r="E167" s="22"/>
      <c r="F167" s="22"/>
      <c r="G167" s="22"/>
      <c r="H167" s="22"/>
      <c r="I167" s="22"/>
      <c r="J167" s="22"/>
      <c r="K167" s="22"/>
      <c r="L167" s="23"/>
      <c r="M167" s="24"/>
      <c r="N167" s="22"/>
      <c r="O167" s="15"/>
    </row>
    <row r="168" spans="1:15" x14ac:dyDescent="0.25">
      <c r="A168" s="20" t="str">
        <f t="shared" si="2"/>
        <v/>
      </c>
      <c r="B168" s="21"/>
      <c r="C168" s="22"/>
      <c r="D168" s="22"/>
      <c r="E168" s="22"/>
      <c r="F168" s="22"/>
      <c r="G168" s="22"/>
      <c r="H168" s="22"/>
      <c r="I168" s="22"/>
      <c r="J168" s="22"/>
      <c r="K168" s="22"/>
      <c r="L168" s="23"/>
      <c r="M168" s="24"/>
      <c r="N168" s="22"/>
      <c r="O168" s="15"/>
    </row>
    <row r="169" spans="1:15" x14ac:dyDescent="0.25">
      <c r="A169" s="20" t="str">
        <f t="shared" si="2"/>
        <v/>
      </c>
      <c r="B169" s="21"/>
      <c r="C169" s="22"/>
      <c r="D169" s="22"/>
      <c r="E169" s="22"/>
      <c r="F169" s="22"/>
      <c r="G169" s="22"/>
      <c r="H169" s="22"/>
      <c r="I169" s="22"/>
      <c r="J169" s="22"/>
      <c r="K169" s="22"/>
      <c r="L169" s="23"/>
      <c r="M169" s="24"/>
      <c r="N169" s="22"/>
      <c r="O169" s="15"/>
    </row>
    <row r="170" spans="1:15" x14ac:dyDescent="0.25">
      <c r="A170" s="20" t="str">
        <f t="shared" si="2"/>
        <v/>
      </c>
      <c r="B170" s="21"/>
      <c r="C170" s="22"/>
      <c r="D170" s="22"/>
      <c r="E170" s="22"/>
      <c r="F170" s="22"/>
      <c r="G170" s="22"/>
      <c r="H170" s="22"/>
      <c r="I170" s="22"/>
      <c r="J170" s="22"/>
      <c r="K170" s="22"/>
      <c r="L170" s="23"/>
      <c r="M170" s="24"/>
      <c r="N170" s="22"/>
      <c r="O170" s="15"/>
    </row>
    <row r="171" spans="1:15" x14ac:dyDescent="0.25">
      <c r="A171" s="20" t="str">
        <f t="shared" si="2"/>
        <v/>
      </c>
      <c r="B171" s="21"/>
      <c r="C171" s="22"/>
      <c r="D171" s="22"/>
      <c r="E171" s="22"/>
      <c r="F171" s="22"/>
      <c r="G171" s="22"/>
      <c r="H171" s="22"/>
      <c r="I171" s="22"/>
      <c r="J171" s="22"/>
      <c r="K171" s="22"/>
      <c r="L171" s="23"/>
      <c r="M171" s="24"/>
      <c r="N171" s="22"/>
      <c r="O171" s="15"/>
    </row>
    <row r="172" spans="1:15" x14ac:dyDescent="0.25">
      <c r="A172" s="20" t="str">
        <f t="shared" si="2"/>
        <v/>
      </c>
      <c r="B172" s="21"/>
      <c r="C172" s="22"/>
      <c r="D172" s="22"/>
      <c r="E172" s="22"/>
      <c r="F172" s="22"/>
      <c r="G172" s="22"/>
      <c r="H172" s="22"/>
      <c r="I172" s="22"/>
      <c r="J172" s="22"/>
      <c r="K172" s="22"/>
      <c r="L172" s="23"/>
      <c r="M172" s="24"/>
      <c r="N172" s="22"/>
      <c r="O172" s="15"/>
    </row>
    <row r="173" spans="1:15" x14ac:dyDescent="0.25">
      <c r="A173" s="20" t="str">
        <f t="shared" si="2"/>
        <v/>
      </c>
      <c r="B173" s="21"/>
      <c r="C173" s="22"/>
      <c r="D173" s="22"/>
      <c r="E173" s="22"/>
      <c r="F173" s="22"/>
      <c r="G173" s="22"/>
      <c r="H173" s="22"/>
      <c r="I173" s="22"/>
      <c r="J173" s="22"/>
      <c r="K173" s="22"/>
      <c r="L173" s="23"/>
      <c r="M173" s="24"/>
      <c r="N173" s="22"/>
      <c r="O173" s="15"/>
    </row>
    <row r="174" spans="1:15" x14ac:dyDescent="0.25">
      <c r="A174" s="20" t="str">
        <f t="shared" si="2"/>
        <v/>
      </c>
      <c r="B174" s="21"/>
      <c r="C174" s="22"/>
      <c r="D174" s="22"/>
      <c r="E174" s="22"/>
      <c r="F174" s="22"/>
      <c r="G174" s="22"/>
      <c r="H174" s="22"/>
      <c r="I174" s="22"/>
      <c r="J174" s="22"/>
      <c r="K174" s="22"/>
      <c r="L174" s="23"/>
      <c r="M174" s="24"/>
      <c r="N174" s="22"/>
      <c r="O174" s="15"/>
    </row>
    <row r="175" spans="1:15" x14ac:dyDescent="0.25">
      <c r="A175" s="20" t="str">
        <f t="shared" si="2"/>
        <v/>
      </c>
      <c r="B175" s="21"/>
      <c r="C175" s="22"/>
      <c r="D175" s="22"/>
      <c r="E175" s="22"/>
      <c r="F175" s="22"/>
      <c r="G175" s="22"/>
      <c r="H175" s="22"/>
      <c r="I175" s="22"/>
      <c r="J175" s="22"/>
      <c r="K175" s="22"/>
      <c r="L175" s="23"/>
      <c r="M175" s="24"/>
      <c r="N175" s="22"/>
      <c r="O175" s="15"/>
    </row>
    <row r="176" spans="1:15" x14ac:dyDescent="0.25">
      <c r="A176" s="20" t="str">
        <f t="shared" si="2"/>
        <v/>
      </c>
      <c r="B176" s="21"/>
      <c r="C176" s="22"/>
      <c r="D176" s="22"/>
      <c r="E176" s="22"/>
      <c r="F176" s="22"/>
      <c r="G176" s="22"/>
      <c r="H176" s="22"/>
      <c r="I176" s="22"/>
      <c r="J176" s="22"/>
      <c r="K176" s="22"/>
      <c r="L176" s="23"/>
      <c r="M176" s="24"/>
      <c r="N176" s="22"/>
      <c r="O176" s="15"/>
    </row>
    <row r="177" spans="1:15" x14ac:dyDescent="0.25">
      <c r="A177" s="20" t="str">
        <f t="shared" si="2"/>
        <v/>
      </c>
      <c r="B177" s="21"/>
      <c r="C177" s="22"/>
      <c r="D177" s="22"/>
      <c r="E177" s="22"/>
      <c r="F177" s="22"/>
      <c r="G177" s="22"/>
      <c r="H177" s="22"/>
      <c r="I177" s="22"/>
      <c r="J177" s="22"/>
      <c r="K177" s="22"/>
      <c r="L177" s="23"/>
      <c r="M177" s="24"/>
      <c r="N177" s="22"/>
      <c r="O177" s="15"/>
    </row>
    <row r="178" spans="1:15" x14ac:dyDescent="0.25">
      <c r="A178" s="20" t="str">
        <f t="shared" si="2"/>
        <v/>
      </c>
      <c r="B178" s="21"/>
      <c r="C178" s="22"/>
      <c r="D178" s="22"/>
      <c r="E178" s="22"/>
      <c r="F178" s="22"/>
      <c r="G178" s="22"/>
      <c r="H178" s="22"/>
      <c r="I178" s="22"/>
      <c r="J178" s="22"/>
      <c r="K178" s="22"/>
      <c r="L178" s="23"/>
      <c r="M178" s="24"/>
      <c r="N178" s="22"/>
      <c r="O178" s="15"/>
    </row>
    <row r="179" spans="1:15" x14ac:dyDescent="0.25">
      <c r="A179" s="20" t="str">
        <f t="shared" si="2"/>
        <v/>
      </c>
      <c r="B179" s="21"/>
      <c r="C179" s="22"/>
      <c r="D179" s="22"/>
      <c r="E179" s="22"/>
      <c r="F179" s="22"/>
      <c r="G179" s="22"/>
      <c r="H179" s="22"/>
      <c r="I179" s="22"/>
      <c r="J179" s="22"/>
      <c r="K179" s="22"/>
      <c r="L179" s="23"/>
      <c r="M179" s="24"/>
      <c r="N179" s="22"/>
      <c r="O179" s="15"/>
    </row>
    <row r="180" spans="1:15" x14ac:dyDescent="0.25">
      <c r="A180" s="20" t="str">
        <f t="shared" si="2"/>
        <v/>
      </c>
      <c r="B180" s="21"/>
      <c r="C180" s="22"/>
      <c r="D180" s="22"/>
      <c r="E180" s="22"/>
      <c r="F180" s="22"/>
      <c r="G180" s="22"/>
      <c r="H180" s="22"/>
      <c r="I180" s="22"/>
      <c r="J180" s="22"/>
      <c r="K180" s="22"/>
      <c r="L180" s="23"/>
      <c r="M180" s="24"/>
      <c r="N180" s="22"/>
      <c r="O180" s="15"/>
    </row>
    <row r="181" spans="1:15" x14ac:dyDescent="0.25">
      <c r="A181" s="20" t="str">
        <f t="shared" si="2"/>
        <v/>
      </c>
      <c r="B181" s="21"/>
      <c r="C181" s="22"/>
      <c r="D181" s="22"/>
      <c r="E181" s="22"/>
      <c r="F181" s="22"/>
      <c r="G181" s="22"/>
      <c r="H181" s="22"/>
      <c r="I181" s="22"/>
      <c r="J181" s="22"/>
      <c r="K181" s="22"/>
      <c r="L181" s="23"/>
      <c r="M181" s="24"/>
      <c r="N181" s="22"/>
      <c r="O181" s="15"/>
    </row>
    <row r="182" spans="1:15" x14ac:dyDescent="0.25">
      <c r="A182" s="20" t="str">
        <f t="shared" si="2"/>
        <v/>
      </c>
      <c r="B182" s="21"/>
      <c r="C182" s="22"/>
      <c r="D182" s="22"/>
      <c r="E182" s="22"/>
      <c r="F182" s="22"/>
      <c r="G182" s="22"/>
      <c r="H182" s="22"/>
      <c r="I182" s="22"/>
      <c r="J182" s="22"/>
      <c r="K182" s="22"/>
      <c r="L182" s="23"/>
      <c r="M182" s="24"/>
      <c r="N182" s="22"/>
      <c r="O182" s="15"/>
    </row>
    <row r="183" spans="1:15" x14ac:dyDescent="0.25">
      <c r="A183" s="20" t="str">
        <f t="shared" si="2"/>
        <v/>
      </c>
      <c r="B183" s="21"/>
      <c r="C183" s="22"/>
      <c r="D183" s="22"/>
      <c r="E183" s="22"/>
      <c r="F183" s="22"/>
      <c r="G183" s="22"/>
      <c r="H183" s="22"/>
      <c r="I183" s="22"/>
      <c r="J183" s="22"/>
      <c r="K183" s="22"/>
      <c r="L183" s="23"/>
      <c r="M183" s="24"/>
      <c r="N183" s="22"/>
      <c r="O183" s="15"/>
    </row>
    <row r="184" spans="1:15" x14ac:dyDescent="0.25">
      <c r="A184" s="20" t="str">
        <f t="shared" si="2"/>
        <v/>
      </c>
      <c r="B184" s="21"/>
      <c r="C184" s="22"/>
      <c r="D184" s="22"/>
      <c r="E184" s="22"/>
      <c r="F184" s="22"/>
      <c r="G184" s="22"/>
      <c r="H184" s="22"/>
      <c r="I184" s="22"/>
      <c r="J184" s="22"/>
      <c r="K184" s="22"/>
      <c r="L184" s="23"/>
      <c r="M184" s="24"/>
      <c r="N184" s="22"/>
      <c r="O184" s="15"/>
    </row>
    <row r="185" spans="1:15" x14ac:dyDescent="0.25">
      <c r="A185" s="20" t="str">
        <f t="shared" si="2"/>
        <v/>
      </c>
      <c r="B185" s="21"/>
      <c r="C185" s="22"/>
      <c r="D185" s="22"/>
      <c r="E185" s="22"/>
      <c r="F185" s="22"/>
      <c r="G185" s="22"/>
      <c r="H185" s="22"/>
      <c r="I185" s="22"/>
      <c r="J185" s="22"/>
      <c r="K185" s="22"/>
      <c r="L185" s="23"/>
      <c r="M185" s="24"/>
      <c r="N185" s="22"/>
      <c r="O185" s="15"/>
    </row>
    <row r="186" spans="1:15" x14ac:dyDescent="0.25">
      <c r="A186" s="20" t="str">
        <f t="shared" si="2"/>
        <v/>
      </c>
      <c r="B186" s="21"/>
      <c r="C186" s="22"/>
      <c r="D186" s="22"/>
      <c r="E186" s="22"/>
      <c r="F186" s="22"/>
      <c r="G186" s="22"/>
      <c r="H186" s="22"/>
      <c r="I186" s="22"/>
      <c r="J186" s="22"/>
      <c r="K186" s="22"/>
      <c r="L186" s="23"/>
      <c r="M186" s="24"/>
      <c r="N186" s="22"/>
      <c r="O186" s="15"/>
    </row>
    <row r="187" spans="1:15" x14ac:dyDescent="0.25">
      <c r="A187" s="20" t="str">
        <f t="shared" si="2"/>
        <v/>
      </c>
      <c r="B187" s="21"/>
      <c r="C187" s="22"/>
      <c r="D187" s="22"/>
      <c r="E187" s="22"/>
      <c r="F187" s="22"/>
      <c r="G187" s="22"/>
      <c r="H187" s="22"/>
      <c r="I187" s="22"/>
      <c r="J187" s="22"/>
      <c r="K187" s="22"/>
      <c r="L187" s="23"/>
      <c r="M187" s="24"/>
      <c r="N187" s="22"/>
      <c r="O187" s="15"/>
    </row>
    <row r="188" spans="1:15" x14ac:dyDescent="0.25">
      <c r="A188" s="20" t="str">
        <f t="shared" si="2"/>
        <v/>
      </c>
      <c r="B188" s="21"/>
      <c r="C188" s="22"/>
      <c r="D188" s="22"/>
      <c r="E188" s="22"/>
      <c r="F188" s="22"/>
      <c r="G188" s="22"/>
      <c r="H188" s="22"/>
      <c r="I188" s="22"/>
      <c r="J188" s="22"/>
      <c r="K188" s="22"/>
      <c r="L188" s="23"/>
      <c r="M188" s="24"/>
      <c r="N188" s="22"/>
      <c r="O188" s="15"/>
    </row>
    <row r="189" spans="1:15" x14ac:dyDescent="0.25">
      <c r="A189" s="20" t="str">
        <f t="shared" si="2"/>
        <v/>
      </c>
      <c r="B189" s="21"/>
      <c r="C189" s="22"/>
      <c r="D189" s="22"/>
      <c r="E189" s="22"/>
      <c r="F189" s="22"/>
      <c r="G189" s="22"/>
      <c r="H189" s="22"/>
      <c r="I189" s="22"/>
      <c r="J189" s="22"/>
      <c r="K189" s="22"/>
      <c r="L189" s="23"/>
      <c r="M189" s="24"/>
      <c r="N189" s="22"/>
      <c r="O189" s="15"/>
    </row>
    <row r="190" spans="1:15" x14ac:dyDescent="0.25">
      <c r="A190" s="20" t="str">
        <f t="shared" si="2"/>
        <v/>
      </c>
      <c r="B190" s="21"/>
      <c r="C190" s="22"/>
      <c r="D190" s="22"/>
      <c r="E190" s="22"/>
      <c r="F190" s="22"/>
      <c r="G190" s="22"/>
      <c r="H190" s="22"/>
      <c r="I190" s="22"/>
      <c r="J190" s="22"/>
      <c r="K190" s="22"/>
      <c r="L190" s="23"/>
      <c r="M190" s="24"/>
      <c r="N190" s="22"/>
      <c r="O190" s="15"/>
    </row>
    <row r="191" spans="1:15" x14ac:dyDescent="0.25">
      <c r="A191" s="20" t="str">
        <f t="shared" si="2"/>
        <v/>
      </c>
      <c r="B191" s="21"/>
      <c r="C191" s="22"/>
      <c r="D191" s="22"/>
      <c r="E191" s="22"/>
      <c r="F191" s="22"/>
      <c r="G191" s="22"/>
      <c r="H191" s="22"/>
      <c r="I191" s="22"/>
      <c r="J191" s="22"/>
      <c r="K191" s="22"/>
      <c r="L191" s="23"/>
      <c r="M191" s="24"/>
      <c r="N191" s="22"/>
      <c r="O191" s="15"/>
    </row>
    <row r="192" spans="1:15" x14ac:dyDescent="0.25">
      <c r="A192" s="20" t="str">
        <f t="shared" si="2"/>
        <v/>
      </c>
      <c r="B192" s="21"/>
      <c r="C192" s="22"/>
      <c r="D192" s="22"/>
      <c r="E192" s="22"/>
      <c r="F192" s="22"/>
      <c r="G192" s="22"/>
      <c r="H192" s="22"/>
      <c r="I192" s="22"/>
      <c r="J192" s="22"/>
      <c r="K192" s="22"/>
      <c r="L192" s="23"/>
      <c r="M192" s="24"/>
      <c r="N192" s="22"/>
      <c r="O192" s="15"/>
    </row>
    <row r="193" spans="1:15" x14ac:dyDescent="0.25">
      <c r="A193" s="20" t="str">
        <f t="shared" si="2"/>
        <v/>
      </c>
      <c r="B193" s="21"/>
      <c r="C193" s="22"/>
      <c r="D193" s="22"/>
      <c r="E193" s="22"/>
      <c r="F193" s="22"/>
      <c r="G193" s="22"/>
      <c r="H193" s="22"/>
      <c r="I193" s="22"/>
      <c r="J193" s="22"/>
      <c r="K193" s="22"/>
      <c r="L193" s="23"/>
      <c r="M193" s="24"/>
      <c r="N193" s="22"/>
      <c r="O193" s="15"/>
    </row>
    <row r="194" spans="1:15" x14ac:dyDescent="0.25">
      <c r="A194" s="20" t="str">
        <f t="shared" ref="A194:A257" si="3">IF(AND(B194="",D194=""),"",ROW()-1)</f>
        <v/>
      </c>
      <c r="B194" s="21"/>
      <c r="C194" s="22"/>
      <c r="D194" s="22"/>
      <c r="E194" s="22"/>
      <c r="F194" s="22"/>
      <c r="G194" s="22"/>
      <c r="H194" s="22"/>
      <c r="I194" s="22"/>
      <c r="J194" s="22"/>
      <c r="K194" s="22"/>
      <c r="L194" s="23"/>
      <c r="M194" s="24"/>
      <c r="N194" s="22"/>
      <c r="O194" s="15"/>
    </row>
    <row r="195" spans="1:15" x14ac:dyDescent="0.25">
      <c r="A195" s="20" t="str">
        <f t="shared" si="3"/>
        <v/>
      </c>
      <c r="B195" s="21"/>
      <c r="C195" s="22"/>
      <c r="D195" s="22"/>
      <c r="E195" s="22"/>
      <c r="F195" s="22"/>
      <c r="G195" s="22"/>
      <c r="H195" s="22"/>
      <c r="I195" s="22"/>
      <c r="J195" s="22"/>
      <c r="K195" s="22"/>
      <c r="L195" s="23"/>
      <c r="M195" s="24"/>
      <c r="N195" s="22"/>
      <c r="O195" s="15"/>
    </row>
    <row r="196" spans="1:15" x14ac:dyDescent="0.25">
      <c r="A196" s="20" t="str">
        <f t="shared" si="3"/>
        <v/>
      </c>
      <c r="B196" s="21"/>
      <c r="C196" s="22"/>
      <c r="D196" s="22"/>
      <c r="E196" s="22"/>
      <c r="F196" s="22"/>
      <c r="G196" s="22"/>
      <c r="H196" s="22"/>
      <c r="I196" s="22"/>
      <c r="J196" s="22"/>
      <c r="K196" s="22"/>
      <c r="L196" s="23"/>
      <c r="M196" s="24"/>
      <c r="N196" s="22"/>
      <c r="O196" s="15"/>
    </row>
    <row r="197" spans="1:15" x14ac:dyDescent="0.25">
      <c r="A197" s="20" t="str">
        <f t="shared" si="3"/>
        <v/>
      </c>
      <c r="B197" s="21"/>
      <c r="C197" s="22"/>
      <c r="D197" s="22"/>
      <c r="E197" s="22"/>
      <c r="F197" s="22"/>
      <c r="G197" s="22"/>
      <c r="H197" s="22"/>
      <c r="I197" s="22"/>
      <c r="J197" s="22"/>
      <c r="K197" s="22"/>
      <c r="L197" s="23"/>
      <c r="M197" s="24"/>
      <c r="N197" s="22"/>
      <c r="O197" s="15"/>
    </row>
    <row r="198" spans="1:15" x14ac:dyDescent="0.25">
      <c r="A198" s="20" t="str">
        <f t="shared" si="3"/>
        <v/>
      </c>
      <c r="B198" s="21"/>
      <c r="C198" s="22"/>
      <c r="D198" s="22"/>
      <c r="E198" s="22"/>
      <c r="F198" s="22"/>
      <c r="G198" s="22"/>
      <c r="H198" s="22"/>
      <c r="I198" s="22"/>
      <c r="J198" s="22"/>
      <c r="K198" s="22"/>
      <c r="L198" s="23"/>
      <c r="M198" s="24"/>
      <c r="N198" s="22"/>
      <c r="O198" s="15"/>
    </row>
    <row r="199" spans="1:15" x14ac:dyDescent="0.25">
      <c r="A199" s="20" t="str">
        <f t="shared" si="3"/>
        <v/>
      </c>
      <c r="B199" s="21"/>
      <c r="C199" s="22"/>
      <c r="D199" s="22"/>
      <c r="E199" s="22"/>
      <c r="F199" s="22"/>
      <c r="G199" s="22"/>
      <c r="H199" s="22"/>
      <c r="I199" s="22"/>
      <c r="J199" s="22"/>
      <c r="K199" s="22"/>
      <c r="L199" s="23"/>
      <c r="M199" s="24"/>
      <c r="N199" s="22"/>
      <c r="O199" s="15"/>
    </row>
    <row r="200" spans="1:15" x14ac:dyDescent="0.25">
      <c r="A200" s="20" t="str">
        <f t="shared" si="3"/>
        <v/>
      </c>
      <c r="B200" s="21"/>
      <c r="C200" s="22"/>
      <c r="D200" s="22"/>
      <c r="E200" s="22"/>
      <c r="F200" s="22"/>
      <c r="G200" s="22"/>
      <c r="H200" s="22"/>
      <c r="I200" s="22"/>
      <c r="J200" s="22"/>
      <c r="K200" s="22"/>
      <c r="L200" s="23"/>
      <c r="M200" s="24"/>
      <c r="N200" s="22"/>
      <c r="O200" s="15"/>
    </row>
    <row r="201" spans="1:15" x14ac:dyDescent="0.25">
      <c r="A201" s="20" t="str">
        <f t="shared" si="3"/>
        <v/>
      </c>
      <c r="B201" s="21"/>
      <c r="C201" s="22"/>
      <c r="D201" s="22"/>
      <c r="E201" s="22"/>
      <c r="F201" s="22"/>
      <c r="G201" s="22"/>
      <c r="H201" s="22"/>
      <c r="I201" s="22"/>
      <c r="J201" s="22"/>
      <c r="K201" s="22"/>
      <c r="L201" s="23"/>
      <c r="M201" s="24"/>
      <c r="N201" s="22"/>
      <c r="O201" s="15"/>
    </row>
    <row r="202" spans="1:15" x14ac:dyDescent="0.25">
      <c r="A202" s="20" t="str">
        <f t="shared" si="3"/>
        <v/>
      </c>
      <c r="B202" s="21"/>
      <c r="C202" s="22"/>
      <c r="D202" s="22"/>
      <c r="E202" s="22"/>
      <c r="F202" s="22"/>
      <c r="G202" s="22"/>
      <c r="H202" s="22"/>
      <c r="I202" s="22"/>
      <c r="J202" s="22"/>
      <c r="K202" s="22"/>
      <c r="L202" s="23"/>
      <c r="M202" s="24"/>
      <c r="N202" s="22"/>
      <c r="O202" s="15"/>
    </row>
    <row r="203" spans="1:15" x14ac:dyDescent="0.25">
      <c r="A203" s="20" t="str">
        <f t="shared" si="3"/>
        <v/>
      </c>
      <c r="B203" s="21"/>
      <c r="C203" s="22"/>
      <c r="D203" s="22"/>
      <c r="E203" s="22"/>
      <c r="F203" s="22"/>
      <c r="G203" s="22"/>
      <c r="H203" s="22"/>
      <c r="I203" s="22"/>
      <c r="J203" s="22"/>
      <c r="K203" s="22"/>
      <c r="L203" s="23"/>
      <c r="M203" s="24"/>
      <c r="N203" s="22"/>
      <c r="O203" s="15"/>
    </row>
    <row r="204" spans="1:15" x14ac:dyDescent="0.25">
      <c r="A204" s="20" t="str">
        <f t="shared" si="3"/>
        <v/>
      </c>
      <c r="B204" s="21"/>
      <c r="C204" s="22"/>
      <c r="D204" s="22"/>
      <c r="E204" s="22"/>
      <c r="F204" s="22"/>
      <c r="G204" s="22"/>
      <c r="H204" s="22"/>
      <c r="I204" s="22"/>
      <c r="J204" s="22"/>
      <c r="K204" s="22"/>
      <c r="L204" s="23"/>
      <c r="M204" s="24"/>
      <c r="N204" s="22"/>
      <c r="O204" s="15"/>
    </row>
    <row r="205" spans="1:15" x14ac:dyDescent="0.25">
      <c r="A205" s="20" t="str">
        <f t="shared" si="3"/>
        <v/>
      </c>
      <c r="B205" s="21"/>
      <c r="C205" s="22"/>
      <c r="D205" s="22"/>
      <c r="E205" s="22"/>
      <c r="F205" s="22"/>
      <c r="G205" s="22"/>
      <c r="H205" s="22"/>
      <c r="I205" s="22"/>
      <c r="J205" s="22"/>
      <c r="K205" s="22"/>
      <c r="L205" s="23"/>
      <c r="M205" s="24"/>
      <c r="N205" s="22"/>
      <c r="O205" s="15"/>
    </row>
    <row r="206" spans="1:15" x14ac:dyDescent="0.25">
      <c r="A206" s="20" t="str">
        <f t="shared" si="3"/>
        <v/>
      </c>
      <c r="B206" s="21"/>
      <c r="C206" s="22"/>
      <c r="D206" s="22"/>
      <c r="E206" s="22"/>
      <c r="F206" s="22"/>
      <c r="G206" s="22"/>
      <c r="H206" s="22"/>
      <c r="I206" s="22"/>
      <c r="J206" s="22"/>
      <c r="K206" s="22"/>
      <c r="L206" s="23"/>
      <c r="M206" s="24"/>
      <c r="N206" s="22"/>
      <c r="O206" s="15"/>
    </row>
    <row r="207" spans="1:15" x14ac:dyDescent="0.25">
      <c r="A207" s="20" t="str">
        <f t="shared" si="3"/>
        <v/>
      </c>
      <c r="B207" s="21"/>
      <c r="C207" s="22"/>
      <c r="D207" s="22"/>
      <c r="E207" s="22"/>
      <c r="F207" s="22"/>
      <c r="G207" s="22"/>
      <c r="H207" s="22"/>
      <c r="I207" s="22"/>
      <c r="J207" s="22"/>
      <c r="K207" s="22"/>
      <c r="L207" s="23"/>
      <c r="M207" s="24"/>
      <c r="N207" s="22"/>
      <c r="O207" s="15"/>
    </row>
    <row r="208" spans="1:15" x14ac:dyDescent="0.25">
      <c r="A208" s="20" t="str">
        <f t="shared" si="3"/>
        <v/>
      </c>
      <c r="B208" s="21"/>
      <c r="C208" s="22"/>
      <c r="D208" s="22"/>
      <c r="E208" s="22"/>
      <c r="F208" s="22"/>
      <c r="G208" s="22"/>
      <c r="H208" s="22"/>
      <c r="I208" s="22"/>
      <c r="J208" s="22"/>
      <c r="K208" s="22"/>
      <c r="L208" s="23"/>
      <c r="M208" s="24"/>
      <c r="N208" s="22"/>
      <c r="O208" s="15"/>
    </row>
    <row r="209" spans="1:15" x14ac:dyDescent="0.25">
      <c r="A209" s="20" t="str">
        <f t="shared" si="3"/>
        <v/>
      </c>
      <c r="B209" s="21"/>
      <c r="C209" s="22"/>
      <c r="D209" s="22"/>
      <c r="E209" s="22"/>
      <c r="F209" s="22"/>
      <c r="G209" s="22"/>
      <c r="H209" s="22"/>
      <c r="I209" s="22"/>
      <c r="J209" s="22"/>
      <c r="K209" s="22"/>
      <c r="L209" s="23"/>
      <c r="M209" s="24"/>
      <c r="N209" s="22"/>
      <c r="O209" s="15"/>
    </row>
    <row r="210" spans="1:15" x14ac:dyDescent="0.25">
      <c r="A210" s="20" t="str">
        <f t="shared" si="3"/>
        <v/>
      </c>
      <c r="B210" s="21"/>
      <c r="C210" s="22"/>
      <c r="D210" s="22"/>
      <c r="E210" s="22"/>
      <c r="F210" s="22"/>
      <c r="G210" s="22"/>
      <c r="H210" s="22"/>
      <c r="I210" s="22"/>
      <c r="J210" s="22"/>
      <c r="K210" s="22"/>
      <c r="L210" s="23"/>
      <c r="M210" s="24"/>
      <c r="N210" s="22"/>
      <c r="O210" s="15"/>
    </row>
    <row r="211" spans="1:15" x14ac:dyDescent="0.25">
      <c r="A211" s="20" t="str">
        <f t="shared" si="3"/>
        <v/>
      </c>
      <c r="B211" s="21"/>
      <c r="C211" s="22"/>
      <c r="D211" s="22"/>
      <c r="E211" s="22"/>
      <c r="F211" s="22"/>
      <c r="G211" s="22"/>
      <c r="H211" s="22"/>
      <c r="I211" s="22"/>
      <c r="J211" s="22"/>
      <c r="K211" s="22"/>
      <c r="L211" s="23"/>
      <c r="M211" s="24"/>
      <c r="N211" s="22"/>
      <c r="O211" s="15"/>
    </row>
    <row r="212" spans="1:15" x14ac:dyDescent="0.25">
      <c r="A212" s="20" t="str">
        <f t="shared" si="3"/>
        <v/>
      </c>
      <c r="B212" s="21"/>
      <c r="C212" s="22"/>
      <c r="D212" s="22"/>
      <c r="E212" s="22"/>
      <c r="F212" s="22"/>
      <c r="G212" s="22"/>
      <c r="H212" s="22"/>
      <c r="I212" s="22"/>
      <c r="J212" s="22"/>
      <c r="K212" s="22"/>
      <c r="L212" s="23"/>
      <c r="M212" s="24"/>
      <c r="N212" s="22"/>
      <c r="O212" s="15"/>
    </row>
    <row r="213" spans="1:15" x14ac:dyDescent="0.25">
      <c r="A213" s="20" t="str">
        <f t="shared" si="3"/>
        <v/>
      </c>
      <c r="B213" s="21"/>
      <c r="C213" s="22"/>
      <c r="D213" s="22"/>
      <c r="E213" s="22"/>
      <c r="F213" s="22"/>
      <c r="G213" s="22"/>
      <c r="H213" s="22"/>
      <c r="I213" s="22"/>
      <c r="J213" s="22"/>
      <c r="K213" s="22"/>
      <c r="L213" s="23"/>
      <c r="M213" s="24"/>
      <c r="N213" s="22"/>
      <c r="O213" s="15"/>
    </row>
    <row r="214" spans="1:15" x14ac:dyDescent="0.25">
      <c r="A214" s="20" t="str">
        <f t="shared" si="3"/>
        <v/>
      </c>
      <c r="B214" s="21"/>
      <c r="C214" s="22"/>
      <c r="D214" s="22"/>
      <c r="E214" s="22"/>
      <c r="F214" s="22"/>
      <c r="G214" s="22"/>
      <c r="H214" s="22"/>
      <c r="I214" s="22"/>
      <c r="J214" s="22"/>
      <c r="K214" s="22"/>
      <c r="L214" s="23"/>
      <c r="M214" s="24"/>
      <c r="N214" s="22"/>
      <c r="O214" s="15"/>
    </row>
    <row r="215" spans="1:15" x14ac:dyDescent="0.25">
      <c r="A215" s="20" t="str">
        <f t="shared" si="3"/>
        <v/>
      </c>
      <c r="B215" s="21"/>
      <c r="C215" s="22"/>
      <c r="D215" s="22"/>
      <c r="E215" s="22"/>
      <c r="F215" s="22"/>
      <c r="G215" s="22"/>
      <c r="H215" s="22"/>
      <c r="I215" s="22"/>
      <c r="J215" s="22"/>
      <c r="K215" s="22"/>
      <c r="L215" s="23"/>
      <c r="M215" s="24"/>
      <c r="N215" s="22"/>
      <c r="O215" s="15"/>
    </row>
    <row r="216" spans="1:15" x14ac:dyDescent="0.25">
      <c r="A216" s="20" t="str">
        <f t="shared" si="3"/>
        <v/>
      </c>
      <c r="B216" s="21"/>
      <c r="C216" s="22"/>
      <c r="D216" s="22"/>
      <c r="E216" s="22"/>
      <c r="F216" s="22"/>
      <c r="G216" s="22"/>
      <c r="H216" s="22"/>
      <c r="I216" s="22"/>
      <c r="J216" s="22"/>
      <c r="K216" s="22"/>
      <c r="L216" s="23"/>
      <c r="M216" s="24"/>
      <c r="N216" s="22"/>
      <c r="O216" s="15"/>
    </row>
    <row r="217" spans="1:15" x14ac:dyDescent="0.25">
      <c r="A217" s="20" t="str">
        <f t="shared" si="3"/>
        <v/>
      </c>
      <c r="B217" s="21"/>
      <c r="C217" s="22"/>
      <c r="D217" s="22"/>
      <c r="E217" s="22"/>
      <c r="F217" s="22"/>
      <c r="G217" s="22"/>
      <c r="H217" s="22"/>
      <c r="I217" s="22"/>
      <c r="J217" s="22"/>
      <c r="K217" s="22"/>
      <c r="L217" s="23"/>
      <c r="M217" s="24"/>
      <c r="N217" s="22"/>
      <c r="O217" s="15"/>
    </row>
    <row r="218" spans="1:15" x14ac:dyDescent="0.25">
      <c r="A218" s="20" t="str">
        <f t="shared" si="3"/>
        <v/>
      </c>
      <c r="B218" s="21"/>
      <c r="C218" s="22"/>
      <c r="D218" s="22"/>
      <c r="E218" s="22"/>
      <c r="F218" s="22"/>
      <c r="G218" s="22"/>
      <c r="H218" s="22"/>
      <c r="I218" s="22"/>
      <c r="J218" s="22"/>
      <c r="K218" s="22"/>
      <c r="L218" s="23"/>
      <c r="M218" s="24"/>
      <c r="N218" s="22"/>
      <c r="O218" s="15"/>
    </row>
    <row r="219" spans="1:15" x14ac:dyDescent="0.25">
      <c r="A219" s="20" t="str">
        <f t="shared" si="3"/>
        <v/>
      </c>
      <c r="B219" s="21"/>
      <c r="C219" s="22"/>
      <c r="D219" s="22"/>
      <c r="E219" s="22"/>
      <c r="F219" s="22"/>
      <c r="G219" s="22"/>
      <c r="H219" s="22"/>
      <c r="I219" s="22"/>
      <c r="J219" s="22"/>
      <c r="K219" s="22"/>
      <c r="L219" s="23"/>
      <c r="M219" s="24"/>
      <c r="N219" s="22"/>
      <c r="O219" s="15"/>
    </row>
    <row r="220" spans="1:15" x14ac:dyDescent="0.25">
      <c r="A220" s="20" t="str">
        <f t="shared" si="3"/>
        <v/>
      </c>
      <c r="B220" s="21"/>
      <c r="C220" s="22"/>
      <c r="D220" s="22"/>
      <c r="E220" s="22"/>
      <c r="F220" s="22"/>
      <c r="G220" s="22"/>
      <c r="H220" s="22"/>
      <c r="I220" s="22"/>
      <c r="J220" s="22"/>
      <c r="K220" s="22"/>
      <c r="L220" s="23"/>
      <c r="M220" s="24"/>
      <c r="N220" s="22"/>
      <c r="O220" s="15"/>
    </row>
    <row r="221" spans="1:15" x14ac:dyDescent="0.25">
      <c r="A221" s="20" t="str">
        <f t="shared" si="3"/>
        <v/>
      </c>
      <c r="B221" s="21"/>
      <c r="C221" s="22"/>
      <c r="D221" s="22"/>
      <c r="E221" s="22"/>
      <c r="F221" s="22"/>
      <c r="G221" s="22"/>
      <c r="H221" s="22"/>
      <c r="I221" s="22"/>
      <c r="J221" s="22"/>
      <c r="K221" s="22"/>
      <c r="L221" s="23"/>
      <c r="M221" s="24"/>
      <c r="N221" s="22"/>
      <c r="O221" s="15"/>
    </row>
    <row r="222" spans="1:15" x14ac:dyDescent="0.25">
      <c r="A222" s="20" t="str">
        <f t="shared" si="3"/>
        <v/>
      </c>
      <c r="B222" s="21"/>
      <c r="C222" s="22"/>
      <c r="D222" s="22"/>
      <c r="E222" s="22"/>
      <c r="F222" s="22"/>
      <c r="G222" s="22"/>
      <c r="H222" s="22"/>
      <c r="I222" s="22"/>
      <c r="J222" s="22"/>
      <c r="K222" s="22"/>
      <c r="L222" s="23"/>
      <c r="M222" s="24"/>
      <c r="N222" s="22"/>
      <c r="O222" s="15"/>
    </row>
    <row r="223" spans="1:15" x14ac:dyDescent="0.25">
      <c r="A223" s="20" t="str">
        <f t="shared" si="3"/>
        <v/>
      </c>
      <c r="B223" s="21"/>
      <c r="C223" s="22"/>
      <c r="D223" s="22"/>
      <c r="E223" s="22"/>
      <c r="F223" s="22"/>
      <c r="G223" s="22"/>
      <c r="H223" s="22"/>
      <c r="I223" s="22"/>
      <c r="J223" s="22"/>
      <c r="K223" s="22"/>
      <c r="L223" s="23"/>
      <c r="M223" s="24"/>
      <c r="N223" s="22"/>
      <c r="O223" s="15"/>
    </row>
    <row r="224" spans="1:15" x14ac:dyDescent="0.25">
      <c r="A224" s="20" t="str">
        <f t="shared" si="3"/>
        <v/>
      </c>
      <c r="B224" s="21"/>
      <c r="C224" s="22"/>
      <c r="D224" s="22"/>
      <c r="E224" s="22"/>
      <c r="F224" s="22"/>
      <c r="G224" s="22"/>
      <c r="H224" s="22"/>
      <c r="I224" s="22"/>
      <c r="J224" s="22"/>
      <c r="K224" s="22"/>
      <c r="L224" s="23"/>
      <c r="M224" s="24"/>
      <c r="N224" s="22"/>
      <c r="O224" s="15"/>
    </row>
    <row r="225" spans="1:15" x14ac:dyDescent="0.25">
      <c r="A225" s="20" t="str">
        <f t="shared" si="3"/>
        <v/>
      </c>
      <c r="B225" s="21"/>
      <c r="C225" s="22"/>
      <c r="D225" s="22"/>
      <c r="E225" s="22"/>
      <c r="F225" s="22"/>
      <c r="G225" s="22"/>
      <c r="H225" s="22"/>
      <c r="I225" s="22"/>
      <c r="J225" s="22"/>
      <c r="K225" s="22"/>
      <c r="L225" s="23"/>
      <c r="M225" s="24"/>
      <c r="N225" s="22"/>
      <c r="O225" s="15"/>
    </row>
    <row r="226" spans="1:15" x14ac:dyDescent="0.25">
      <c r="A226" s="20" t="str">
        <f t="shared" si="3"/>
        <v/>
      </c>
      <c r="B226" s="21"/>
      <c r="C226" s="22"/>
      <c r="D226" s="22"/>
      <c r="E226" s="22"/>
      <c r="F226" s="22"/>
      <c r="G226" s="22"/>
      <c r="H226" s="22"/>
      <c r="I226" s="22"/>
      <c r="J226" s="22"/>
      <c r="K226" s="22"/>
      <c r="L226" s="23"/>
      <c r="M226" s="24"/>
      <c r="N226" s="22"/>
      <c r="O226" s="15"/>
    </row>
    <row r="227" spans="1:15" x14ac:dyDescent="0.25">
      <c r="A227" s="20" t="str">
        <f t="shared" si="3"/>
        <v/>
      </c>
      <c r="B227" s="21"/>
      <c r="C227" s="22"/>
      <c r="D227" s="22"/>
      <c r="E227" s="22"/>
      <c r="F227" s="22"/>
      <c r="G227" s="22"/>
      <c r="H227" s="22"/>
      <c r="I227" s="22"/>
      <c r="J227" s="22"/>
      <c r="K227" s="22"/>
      <c r="L227" s="23"/>
      <c r="M227" s="24"/>
      <c r="N227" s="22"/>
      <c r="O227" s="15"/>
    </row>
    <row r="228" spans="1:15" x14ac:dyDescent="0.25">
      <c r="A228" s="20" t="str">
        <f t="shared" si="3"/>
        <v/>
      </c>
      <c r="B228" s="21"/>
      <c r="C228" s="22"/>
      <c r="D228" s="22"/>
      <c r="E228" s="22"/>
      <c r="F228" s="22"/>
      <c r="G228" s="22"/>
      <c r="H228" s="22"/>
      <c r="I228" s="22"/>
      <c r="J228" s="22"/>
      <c r="K228" s="22"/>
      <c r="L228" s="23"/>
      <c r="M228" s="24"/>
      <c r="N228" s="22"/>
      <c r="O228" s="15"/>
    </row>
    <row r="229" spans="1:15" x14ac:dyDescent="0.25">
      <c r="A229" s="20" t="str">
        <f t="shared" si="3"/>
        <v/>
      </c>
      <c r="B229" s="21"/>
      <c r="C229" s="22"/>
      <c r="D229" s="22"/>
      <c r="E229" s="22"/>
      <c r="F229" s="22"/>
      <c r="G229" s="22"/>
      <c r="H229" s="22"/>
      <c r="I229" s="22"/>
      <c r="J229" s="22"/>
      <c r="K229" s="22"/>
      <c r="L229" s="23"/>
      <c r="M229" s="24"/>
      <c r="N229" s="22"/>
      <c r="O229" s="15"/>
    </row>
    <row r="230" spans="1:15" x14ac:dyDescent="0.25">
      <c r="A230" s="20" t="str">
        <f t="shared" si="3"/>
        <v/>
      </c>
      <c r="B230" s="21"/>
      <c r="C230" s="22"/>
      <c r="D230" s="22"/>
      <c r="E230" s="22"/>
      <c r="F230" s="22"/>
      <c r="G230" s="22"/>
      <c r="H230" s="22"/>
      <c r="I230" s="22"/>
      <c r="J230" s="22"/>
      <c r="K230" s="22"/>
      <c r="L230" s="23"/>
      <c r="M230" s="24"/>
      <c r="N230" s="22"/>
      <c r="O230" s="15"/>
    </row>
    <row r="231" spans="1:15" x14ac:dyDescent="0.25">
      <c r="A231" s="20" t="str">
        <f t="shared" si="3"/>
        <v/>
      </c>
      <c r="B231" s="21"/>
      <c r="C231" s="22"/>
      <c r="D231" s="22"/>
      <c r="E231" s="22"/>
      <c r="F231" s="22"/>
      <c r="G231" s="22"/>
      <c r="H231" s="22"/>
      <c r="I231" s="22"/>
      <c r="J231" s="22"/>
      <c r="K231" s="22"/>
      <c r="L231" s="23"/>
      <c r="M231" s="24"/>
      <c r="N231" s="22"/>
      <c r="O231" s="15"/>
    </row>
    <row r="232" spans="1:15" x14ac:dyDescent="0.25">
      <c r="A232" s="20" t="str">
        <f t="shared" si="3"/>
        <v/>
      </c>
      <c r="B232" s="21"/>
      <c r="C232" s="22"/>
      <c r="D232" s="22"/>
      <c r="E232" s="22"/>
      <c r="F232" s="22"/>
      <c r="G232" s="22"/>
      <c r="H232" s="22"/>
      <c r="I232" s="22"/>
      <c r="J232" s="22"/>
      <c r="K232" s="22"/>
      <c r="L232" s="23"/>
      <c r="M232" s="24"/>
      <c r="N232" s="22"/>
      <c r="O232" s="15"/>
    </row>
    <row r="233" spans="1:15" x14ac:dyDescent="0.25">
      <c r="A233" s="20" t="str">
        <f t="shared" si="3"/>
        <v/>
      </c>
      <c r="B233" s="21"/>
      <c r="C233" s="22"/>
      <c r="D233" s="22"/>
      <c r="E233" s="22"/>
      <c r="F233" s="22"/>
      <c r="G233" s="22"/>
      <c r="H233" s="22"/>
      <c r="I233" s="22"/>
      <c r="J233" s="22"/>
      <c r="K233" s="22"/>
      <c r="L233" s="23"/>
      <c r="M233" s="24"/>
      <c r="N233" s="22"/>
      <c r="O233" s="15"/>
    </row>
    <row r="234" spans="1:15" x14ac:dyDescent="0.25">
      <c r="A234" s="20" t="str">
        <f t="shared" si="3"/>
        <v/>
      </c>
      <c r="B234" s="21"/>
      <c r="C234" s="22"/>
      <c r="D234" s="22"/>
      <c r="E234" s="22"/>
      <c r="F234" s="22"/>
      <c r="G234" s="22"/>
      <c r="H234" s="22"/>
      <c r="I234" s="22"/>
      <c r="J234" s="22"/>
      <c r="K234" s="22"/>
      <c r="L234" s="23"/>
      <c r="M234" s="24"/>
      <c r="N234" s="22"/>
      <c r="O234" s="15"/>
    </row>
    <row r="235" spans="1:15" x14ac:dyDescent="0.25">
      <c r="A235" s="20" t="str">
        <f t="shared" si="3"/>
        <v/>
      </c>
      <c r="B235" s="21"/>
      <c r="C235" s="22"/>
      <c r="D235" s="22"/>
      <c r="E235" s="22"/>
      <c r="F235" s="22"/>
      <c r="G235" s="22"/>
      <c r="H235" s="22"/>
      <c r="I235" s="22"/>
      <c r="J235" s="22"/>
      <c r="K235" s="22"/>
      <c r="L235" s="23"/>
      <c r="M235" s="24"/>
      <c r="N235" s="22"/>
      <c r="O235" s="15"/>
    </row>
    <row r="236" spans="1:15" x14ac:dyDescent="0.25">
      <c r="A236" s="20" t="str">
        <f t="shared" si="3"/>
        <v/>
      </c>
      <c r="B236" s="21"/>
      <c r="C236" s="22"/>
      <c r="D236" s="22"/>
      <c r="E236" s="22"/>
      <c r="F236" s="22"/>
      <c r="G236" s="22"/>
      <c r="H236" s="22"/>
      <c r="I236" s="22"/>
      <c r="J236" s="22"/>
      <c r="K236" s="22"/>
      <c r="L236" s="23"/>
      <c r="M236" s="24"/>
      <c r="N236" s="22"/>
      <c r="O236" s="15"/>
    </row>
    <row r="237" spans="1:15" x14ac:dyDescent="0.25">
      <c r="A237" s="20" t="str">
        <f t="shared" si="3"/>
        <v/>
      </c>
      <c r="B237" s="21"/>
      <c r="C237" s="22"/>
      <c r="D237" s="22"/>
      <c r="E237" s="22"/>
      <c r="F237" s="22"/>
      <c r="G237" s="22"/>
      <c r="H237" s="22"/>
      <c r="I237" s="22"/>
      <c r="J237" s="22"/>
      <c r="K237" s="22"/>
      <c r="L237" s="23"/>
      <c r="M237" s="24"/>
      <c r="N237" s="22"/>
      <c r="O237" s="15"/>
    </row>
    <row r="238" spans="1:15" x14ac:dyDescent="0.25">
      <c r="A238" s="20" t="str">
        <f t="shared" si="3"/>
        <v/>
      </c>
      <c r="B238" s="21"/>
      <c r="C238" s="22"/>
      <c r="D238" s="22"/>
      <c r="E238" s="22"/>
      <c r="F238" s="22"/>
      <c r="G238" s="22"/>
      <c r="H238" s="22"/>
      <c r="I238" s="22"/>
      <c r="J238" s="22"/>
      <c r="K238" s="22"/>
      <c r="L238" s="23"/>
      <c r="M238" s="24"/>
      <c r="N238" s="22"/>
      <c r="O238" s="15"/>
    </row>
    <row r="239" spans="1:15" x14ac:dyDescent="0.25">
      <c r="A239" s="20" t="str">
        <f t="shared" si="3"/>
        <v/>
      </c>
      <c r="B239" s="21"/>
      <c r="C239" s="22"/>
      <c r="D239" s="22"/>
      <c r="E239" s="22"/>
      <c r="F239" s="22"/>
      <c r="G239" s="22"/>
      <c r="H239" s="22"/>
      <c r="I239" s="22"/>
      <c r="J239" s="22"/>
      <c r="K239" s="22"/>
      <c r="L239" s="23"/>
      <c r="M239" s="24"/>
      <c r="N239" s="22"/>
      <c r="O239" s="15"/>
    </row>
    <row r="240" spans="1:15" x14ac:dyDescent="0.25">
      <c r="A240" s="20" t="str">
        <f t="shared" si="3"/>
        <v/>
      </c>
      <c r="B240" s="21"/>
      <c r="C240" s="22"/>
      <c r="D240" s="22"/>
      <c r="E240" s="22"/>
      <c r="F240" s="22"/>
      <c r="G240" s="22"/>
      <c r="H240" s="22"/>
      <c r="I240" s="22"/>
      <c r="J240" s="22"/>
      <c r="K240" s="22"/>
      <c r="L240" s="23"/>
      <c r="M240" s="24"/>
      <c r="N240" s="22"/>
      <c r="O240" s="15"/>
    </row>
    <row r="241" spans="1:15" x14ac:dyDescent="0.25">
      <c r="A241" s="20" t="str">
        <f t="shared" si="3"/>
        <v/>
      </c>
      <c r="B241" s="21"/>
      <c r="C241" s="22"/>
      <c r="D241" s="22"/>
      <c r="E241" s="22"/>
      <c r="F241" s="22"/>
      <c r="G241" s="22"/>
      <c r="H241" s="22"/>
      <c r="I241" s="22"/>
      <c r="J241" s="22"/>
      <c r="K241" s="22"/>
      <c r="L241" s="23"/>
      <c r="M241" s="24"/>
      <c r="N241" s="22"/>
      <c r="O241" s="15"/>
    </row>
    <row r="242" spans="1:15" x14ac:dyDescent="0.25">
      <c r="A242" s="20" t="str">
        <f t="shared" si="3"/>
        <v/>
      </c>
      <c r="B242" s="21"/>
      <c r="C242" s="22"/>
      <c r="D242" s="22"/>
      <c r="E242" s="22"/>
      <c r="F242" s="22"/>
      <c r="G242" s="22"/>
      <c r="H242" s="22"/>
      <c r="I242" s="22"/>
      <c r="J242" s="22"/>
      <c r="K242" s="22"/>
      <c r="L242" s="23"/>
      <c r="M242" s="24"/>
      <c r="N242" s="22"/>
      <c r="O242" s="15"/>
    </row>
    <row r="243" spans="1:15" x14ac:dyDescent="0.25">
      <c r="A243" s="20" t="str">
        <f t="shared" si="3"/>
        <v/>
      </c>
      <c r="B243" s="21"/>
      <c r="C243" s="22"/>
      <c r="D243" s="22"/>
      <c r="E243" s="22"/>
      <c r="F243" s="22"/>
      <c r="G243" s="22"/>
      <c r="H243" s="22"/>
      <c r="I243" s="22"/>
      <c r="J243" s="22"/>
      <c r="K243" s="22"/>
      <c r="L243" s="23"/>
      <c r="M243" s="24"/>
      <c r="N243" s="22"/>
      <c r="O243" s="15"/>
    </row>
    <row r="244" spans="1:15" x14ac:dyDescent="0.25">
      <c r="A244" s="20" t="str">
        <f t="shared" si="3"/>
        <v/>
      </c>
      <c r="B244" s="21"/>
      <c r="C244" s="22"/>
      <c r="D244" s="22"/>
      <c r="E244" s="22"/>
      <c r="F244" s="22"/>
      <c r="G244" s="22"/>
      <c r="H244" s="22"/>
      <c r="I244" s="22"/>
      <c r="J244" s="22"/>
      <c r="K244" s="22"/>
      <c r="L244" s="23"/>
      <c r="M244" s="24"/>
      <c r="N244" s="22"/>
      <c r="O244" s="15"/>
    </row>
    <row r="245" spans="1:15" x14ac:dyDescent="0.25">
      <c r="A245" s="20" t="str">
        <f t="shared" si="3"/>
        <v/>
      </c>
      <c r="B245" s="21"/>
      <c r="C245" s="22"/>
      <c r="D245" s="22"/>
      <c r="E245" s="22"/>
      <c r="F245" s="22"/>
      <c r="G245" s="22"/>
      <c r="H245" s="22"/>
      <c r="I245" s="22"/>
      <c r="J245" s="22"/>
      <c r="K245" s="22"/>
      <c r="L245" s="23"/>
      <c r="M245" s="24"/>
      <c r="N245" s="22"/>
      <c r="O245" s="15"/>
    </row>
    <row r="246" spans="1:15" x14ac:dyDescent="0.25">
      <c r="A246" s="20" t="str">
        <f t="shared" si="3"/>
        <v/>
      </c>
      <c r="B246" s="21"/>
      <c r="C246" s="22"/>
      <c r="D246" s="22"/>
      <c r="E246" s="22"/>
      <c r="F246" s="22"/>
      <c r="G246" s="22"/>
      <c r="H246" s="22"/>
      <c r="I246" s="22"/>
      <c r="J246" s="22"/>
      <c r="K246" s="22"/>
      <c r="L246" s="23"/>
      <c r="M246" s="24"/>
      <c r="N246" s="22"/>
      <c r="O246" s="15"/>
    </row>
    <row r="247" spans="1:15" x14ac:dyDescent="0.25">
      <c r="A247" s="20" t="str">
        <f t="shared" si="3"/>
        <v/>
      </c>
      <c r="B247" s="21"/>
      <c r="C247" s="22"/>
      <c r="D247" s="22"/>
      <c r="E247" s="22"/>
      <c r="F247" s="22"/>
      <c r="G247" s="22"/>
      <c r="H247" s="22"/>
      <c r="I247" s="22"/>
      <c r="J247" s="22"/>
      <c r="K247" s="22"/>
      <c r="L247" s="23"/>
      <c r="M247" s="24"/>
      <c r="N247" s="22"/>
      <c r="O247" s="15"/>
    </row>
    <row r="248" spans="1:15" x14ac:dyDescent="0.25">
      <c r="A248" s="20" t="str">
        <f t="shared" si="3"/>
        <v/>
      </c>
      <c r="B248" s="21"/>
      <c r="C248" s="22"/>
      <c r="D248" s="22"/>
      <c r="E248" s="22"/>
      <c r="F248" s="22"/>
      <c r="G248" s="22"/>
      <c r="H248" s="22"/>
      <c r="I248" s="22"/>
      <c r="J248" s="22"/>
      <c r="K248" s="22"/>
      <c r="L248" s="23"/>
      <c r="M248" s="24"/>
      <c r="N248" s="22"/>
      <c r="O248" s="15"/>
    </row>
    <row r="249" spans="1:15" x14ac:dyDescent="0.25">
      <c r="A249" s="20" t="str">
        <f t="shared" si="3"/>
        <v/>
      </c>
      <c r="B249" s="21"/>
      <c r="C249" s="22"/>
      <c r="D249" s="22"/>
      <c r="E249" s="22"/>
      <c r="F249" s="22"/>
      <c r="G249" s="22"/>
      <c r="H249" s="22"/>
      <c r="I249" s="22"/>
      <c r="J249" s="22"/>
      <c r="K249" s="22"/>
      <c r="L249" s="23"/>
      <c r="M249" s="24"/>
      <c r="N249" s="22"/>
      <c r="O249" s="15"/>
    </row>
    <row r="250" spans="1:15" x14ac:dyDescent="0.25">
      <c r="A250" s="20" t="str">
        <f t="shared" si="3"/>
        <v/>
      </c>
      <c r="B250" s="21"/>
      <c r="C250" s="22"/>
      <c r="D250" s="22"/>
      <c r="E250" s="22"/>
      <c r="F250" s="22"/>
      <c r="G250" s="22"/>
      <c r="H250" s="22"/>
      <c r="I250" s="22"/>
      <c r="J250" s="22"/>
      <c r="K250" s="22"/>
      <c r="L250" s="23"/>
      <c r="M250" s="24"/>
      <c r="N250" s="22"/>
      <c r="O250" s="15"/>
    </row>
    <row r="251" spans="1:15" x14ac:dyDescent="0.25">
      <c r="A251" s="20" t="str">
        <f t="shared" si="3"/>
        <v/>
      </c>
      <c r="B251" s="21"/>
      <c r="C251" s="22"/>
      <c r="D251" s="22"/>
      <c r="E251" s="22"/>
      <c r="F251" s="22"/>
      <c r="G251" s="22"/>
      <c r="H251" s="22"/>
      <c r="I251" s="22"/>
      <c r="J251" s="22"/>
      <c r="K251" s="22"/>
      <c r="L251" s="23"/>
      <c r="M251" s="24"/>
      <c r="N251" s="22"/>
      <c r="O251" s="15"/>
    </row>
    <row r="252" spans="1:15" x14ac:dyDescent="0.25">
      <c r="A252" s="20" t="str">
        <f t="shared" si="3"/>
        <v/>
      </c>
      <c r="B252" s="21"/>
      <c r="C252" s="22"/>
      <c r="D252" s="22"/>
      <c r="E252" s="22"/>
      <c r="F252" s="22"/>
      <c r="G252" s="22"/>
      <c r="H252" s="22"/>
      <c r="I252" s="22"/>
      <c r="J252" s="22"/>
      <c r="K252" s="22"/>
      <c r="L252" s="23"/>
      <c r="M252" s="24"/>
      <c r="N252" s="22"/>
      <c r="O252" s="15"/>
    </row>
    <row r="253" spans="1:15" x14ac:dyDescent="0.25">
      <c r="A253" s="20" t="str">
        <f t="shared" si="3"/>
        <v/>
      </c>
      <c r="B253" s="21"/>
      <c r="C253" s="22"/>
      <c r="D253" s="22"/>
      <c r="E253" s="22"/>
      <c r="F253" s="22"/>
      <c r="G253" s="22"/>
      <c r="H253" s="22"/>
      <c r="I253" s="22"/>
      <c r="J253" s="22"/>
      <c r="K253" s="22"/>
      <c r="L253" s="23"/>
      <c r="M253" s="24"/>
      <c r="N253" s="22"/>
      <c r="O253" s="15"/>
    </row>
    <row r="254" spans="1:15" x14ac:dyDescent="0.25">
      <c r="A254" s="20" t="str">
        <f t="shared" si="3"/>
        <v/>
      </c>
      <c r="B254" s="21"/>
      <c r="C254" s="22"/>
      <c r="D254" s="22"/>
      <c r="E254" s="22"/>
      <c r="F254" s="22"/>
      <c r="G254" s="22"/>
      <c r="H254" s="22"/>
      <c r="I254" s="22"/>
      <c r="J254" s="22"/>
      <c r="K254" s="22"/>
      <c r="L254" s="23"/>
      <c r="M254" s="24"/>
      <c r="N254" s="22"/>
      <c r="O254" s="15"/>
    </row>
    <row r="255" spans="1:15" x14ac:dyDescent="0.25">
      <c r="A255" s="20" t="str">
        <f t="shared" si="3"/>
        <v/>
      </c>
      <c r="B255" s="21"/>
      <c r="C255" s="22"/>
      <c r="D255" s="22"/>
      <c r="E255" s="22"/>
      <c r="F255" s="22"/>
      <c r="G255" s="22"/>
      <c r="H255" s="22"/>
      <c r="I255" s="22"/>
      <c r="J255" s="22"/>
      <c r="K255" s="22"/>
      <c r="L255" s="23"/>
      <c r="M255" s="24"/>
      <c r="N255" s="22"/>
      <c r="O255" s="15"/>
    </row>
    <row r="256" spans="1:15" x14ac:dyDescent="0.25">
      <c r="A256" s="20" t="str">
        <f t="shared" si="3"/>
        <v/>
      </c>
      <c r="B256" s="21"/>
      <c r="C256" s="22"/>
      <c r="D256" s="22"/>
      <c r="E256" s="22"/>
      <c r="F256" s="22"/>
      <c r="G256" s="22"/>
      <c r="H256" s="22"/>
      <c r="I256" s="22"/>
      <c r="J256" s="22"/>
      <c r="K256" s="22"/>
      <c r="L256" s="23"/>
      <c r="M256" s="24"/>
      <c r="N256" s="22"/>
      <c r="O256" s="15"/>
    </row>
    <row r="257" spans="1:15" x14ac:dyDescent="0.25">
      <c r="A257" s="20" t="str">
        <f t="shared" si="3"/>
        <v/>
      </c>
      <c r="B257" s="21"/>
      <c r="C257" s="22"/>
      <c r="D257" s="22"/>
      <c r="E257" s="22"/>
      <c r="F257" s="22"/>
      <c r="G257" s="22"/>
      <c r="H257" s="22"/>
      <c r="I257" s="22"/>
      <c r="J257" s="22"/>
      <c r="K257" s="22"/>
      <c r="L257" s="23"/>
      <c r="M257" s="24"/>
      <c r="N257" s="22"/>
      <c r="O257" s="15"/>
    </row>
    <row r="258" spans="1:15" x14ac:dyDescent="0.25">
      <c r="A258" s="20" t="str">
        <f t="shared" ref="A258:A321" si="4">IF(AND(B258="",D258=""),"",ROW()-1)</f>
        <v/>
      </c>
      <c r="B258" s="21"/>
      <c r="C258" s="22"/>
      <c r="D258" s="22"/>
      <c r="E258" s="22"/>
      <c r="F258" s="22"/>
      <c r="G258" s="22"/>
      <c r="H258" s="22"/>
      <c r="I258" s="22"/>
      <c r="J258" s="22"/>
      <c r="K258" s="22"/>
      <c r="L258" s="23"/>
      <c r="M258" s="24"/>
      <c r="N258" s="22"/>
      <c r="O258" s="15"/>
    </row>
    <row r="259" spans="1:15" x14ac:dyDescent="0.25">
      <c r="A259" s="20" t="str">
        <f t="shared" si="4"/>
        <v/>
      </c>
      <c r="B259" s="21"/>
      <c r="C259" s="22"/>
      <c r="D259" s="22"/>
      <c r="E259" s="22"/>
      <c r="F259" s="22"/>
      <c r="G259" s="22"/>
      <c r="H259" s="22"/>
      <c r="I259" s="22"/>
      <c r="J259" s="22"/>
      <c r="K259" s="22"/>
      <c r="L259" s="23"/>
      <c r="M259" s="24"/>
      <c r="N259" s="22"/>
      <c r="O259" s="15"/>
    </row>
    <row r="260" spans="1:15" x14ac:dyDescent="0.25">
      <c r="A260" s="20" t="str">
        <f t="shared" si="4"/>
        <v/>
      </c>
      <c r="B260" s="21"/>
      <c r="C260" s="22"/>
      <c r="D260" s="22"/>
      <c r="E260" s="22"/>
      <c r="F260" s="22"/>
      <c r="G260" s="22"/>
      <c r="H260" s="22"/>
      <c r="I260" s="22"/>
      <c r="J260" s="22"/>
      <c r="K260" s="22"/>
      <c r="L260" s="23"/>
      <c r="M260" s="24"/>
      <c r="N260" s="22"/>
      <c r="O260" s="15"/>
    </row>
    <row r="261" spans="1:15" x14ac:dyDescent="0.25">
      <c r="A261" s="20" t="str">
        <f t="shared" si="4"/>
        <v/>
      </c>
      <c r="B261" s="21"/>
      <c r="C261" s="22"/>
      <c r="D261" s="22"/>
      <c r="E261" s="22"/>
      <c r="F261" s="22"/>
      <c r="G261" s="22"/>
      <c r="H261" s="22"/>
      <c r="I261" s="22"/>
      <c r="J261" s="22"/>
      <c r="K261" s="22"/>
      <c r="L261" s="23"/>
      <c r="M261" s="24"/>
      <c r="N261" s="22"/>
      <c r="O261" s="15"/>
    </row>
    <row r="262" spans="1:15" x14ac:dyDescent="0.25">
      <c r="A262" s="20" t="str">
        <f t="shared" si="4"/>
        <v/>
      </c>
      <c r="B262" s="21"/>
      <c r="C262" s="22"/>
      <c r="D262" s="22"/>
      <c r="E262" s="22"/>
      <c r="F262" s="22"/>
      <c r="G262" s="22"/>
      <c r="H262" s="22"/>
      <c r="I262" s="22"/>
      <c r="J262" s="22"/>
      <c r="K262" s="22"/>
      <c r="L262" s="23"/>
      <c r="M262" s="24"/>
      <c r="N262" s="22"/>
      <c r="O262" s="15"/>
    </row>
    <row r="263" spans="1:15" x14ac:dyDescent="0.25">
      <c r="A263" s="20" t="str">
        <f t="shared" si="4"/>
        <v/>
      </c>
      <c r="B263" s="21"/>
      <c r="C263" s="22"/>
      <c r="D263" s="22"/>
      <c r="E263" s="22"/>
      <c r="F263" s="22"/>
      <c r="G263" s="22"/>
      <c r="H263" s="22"/>
      <c r="I263" s="22"/>
      <c r="J263" s="22"/>
      <c r="K263" s="22"/>
      <c r="L263" s="23"/>
      <c r="M263" s="24"/>
      <c r="N263" s="22"/>
      <c r="O263" s="15"/>
    </row>
    <row r="264" spans="1:15" x14ac:dyDescent="0.25">
      <c r="A264" s="20" t="str">
        <f t="shared" si="4"/>
        <v/>
      </c>
      <c r="B264" s="21"/>
      <c r="C264" s="22"/>
      <c r="D264" s="22"/>
      <c r="E264" s="22"/>
      <c r="F264" s="22"/>
      <c r="G264" s="22"/>
      <c r="H264" s="22"/>
      <c r="I264" s="22"/>
      <c r="J264" s="22"/>
      <c r="K264" s="22"/>
      <c r="L264" s="23"/>
      <c r="M264" s="24"/>
      <c r="N264" s="22"/>
      <c r="O264" s="15"/>
    </row>
    <row r="265" spans="1:15" x14ac:dyDescent="0.25">
      <c r="A265" s="20" t="str">
        <f t="shared" si="4"/>
        <v/>
      </c>
      <c r="B265" s="21"/>
      <c r="C265" s="22"/>
      <c r="D265" s="22"/>
      <c r="E265" s="22"/>
      <c r="F265" s="22"/>
      <c r="G265" s="22"/>
      <c r="H265" s="22"/>
      <c r="I265" s="22"/>
      <c r="J265" s="22"/>
      <c r="K265" s="22"/>
      <c r="L265" s="23"/>
      <c r="M265" s="24"/>
      <c r="N265" s="22"/>
      <c r="O265" s="15"/>
    </row>
    <row r="266" spans="1:15" x14ac:dyDescent="0.25">
      <c r="A266" s="20" t="str">
        <f t="shared" si="4"/>
        <v/>
      </c>
      <c r="B266" s="21"/>
      <c r="C266" s="22"/>
      <c r="D266" s="22"/>
      <c r="E266" s="22"/>
      <c r="F266" s="22"/>
      <c r="G266" s="22"/>
      <c r="H266" s="22"/>
      <c r="I266" s="22"/>
      <c r="J266" s="22"/>
      <c r="K266" s="22"/>
      <c r="L266" s="23"/>
      <c r="M266" s="24"/>
      <c r="N266" s="22"/>
      <c r="O266" s="15"/>
    </row>
    <row r="267" spans="1:15" x14ac:dyDescent="0.25">
      <c r="A267" s="20" t="str">
        <f t="shared" si="4"/>
        <v/>
      </c>
      <c r="B267" s="21"/>
      <c r="C267" s="22"/>
      <c r="D267" s="22"/>
      <c r="E267" s="22"/>
      <c r="F267" s="22"/>
      <c r="G267" s="22"/>
      <c r="H267" s="22"/>
      <c r="I267" s="22"/>
      <c r="J267" s="22"/>
      <c r="K267" s="22"/>
      <c r="L267" s="23"/>
      <c r="M267" s="24"/>
      <c r="N267" s="22"/>
      <c r="O267" s="15"/>
    </row>
    <row r="268" spans="1:15" x14ac:dyDescent="0.25">
      <c r="A268" s="20" t="str">
        <f t="shared" si="4"/>
        <v/>
      </c>
      <c r="B268" s="21"/>
      <c r="C268" s="22"/>
      <c r="D268" s="22"/>
      <c r="E268" s="22"/>
      <c r="F268" s="22"/>
      <c r="G268" s="22"/>
      <c r="H268" s="22"/>
      <c r="I268" s="22"/>
      <c r="J268" s="22"/>
      <c r="K268" s="22"/>
      <c r="L268" s="23"/>
      <c r="M268" s="24"/>
      <c r="N268" s="22"/>
      <c r="O268" s="15"/>
    </row>
    <row r="269" spans="1:15" x14ac:dyDescent="0.25">
      <c r="A269" s="20" t="str">
        <f t="shared" si="4"/>
        <v/>
      </c>
      <c r="B269" s="21"/>
      <c r="C269" s="22"/>
      <c r="D269" s="22"/>
      <c r="E269" s="22"/>
      <c r="F269" s="22"/>
      <c r="G269" s="22"/>
      <c r="H269" s="22"/>
      <c r="I269" s="22"/>
      <c r="J269" s="22"/>
      <c r="K269" s="22"/>
      <c r="L269" s="23"/>
      <c r="M269" s="24"/>
      <c r="N269" s="22"/>
      <c r="O269" s="15"/>
    </row>
    <row r="270" spans="1:15" x14ac:dyDescent="0.25">
      <c r="A270" s="20" t="str">
        <f t="shared" si="4"/>
        <v/>
      </c>
      <c r="B270" s="21"/>
      <c r="C270" s="22"/>
      <c r="D270" s="22"/>
      <c r="E270" s="22"/>
      <c r="F270" s="22"/>
      <c r="G270" s="22"/>
      <c r="H270" s="22"/>
      <c r="I270" s="22"/>
      <c r="J270" s="22"/>
      <c r="K270" s="22"/>
      <c r="L270" s="23"/>
      <c r="M270" s="24"/>
      <c r="N270" s="22"/>
      <c r="O270" s="15"/>
    </row>
    <row r="271" spans="1:15" x14ac:dyDescent="0.25">
      <c r="A271" s="20" t="str">
        <f t="shared" si="4"/>
        <v/>
      </c>
      <c r="B271" s="21"/>
      <c r="C271" s="22"/>
      <c r="D271" s="22"/>
      <c r="E271" s="22"/>
      <c r="F271" s="22"/>
      <c r="G271" s="22"/>
      <c r="H271" s="22"/>
      <c r="I271" s="22"/>
      <c r="J271" s="22"/>
      <c r="K271" s="22"/>
      <c r="L271" s="23"/>
      <c r="M271" s="24"/>
      <c r="N271" s="22"/>
      <c r="O271" s="15"/>
    </row>
    <row r="272" spans="1:15" x14ac:dyDescent="0.25">
      <c r="A272" s="20" t="str">
        <f t="shared" si="4"/>
        <v/>
      </c>
      <c r="B272" s="21"/>
      <c r="C272" s="22"/>
      <c r="D272" s="22"/>
      <c r="E272" s="22"/>
      <c r="F272" s="22"/>
      <c r="G272" s="22"/>
      <c r="H272" s="22"/>
      <c r="I272" s="22"/>
      <c r="J272" s="22"/>
      <c r="K272" s="22"/>
      <c r="L272" s="23"/>
      <c r="M272" s="24"/>
      <c r="N272" s="22"/>
      <c r="O272" s="15"/>
    </row>
    <row r="273" spans="1:15" x14ac:dyDescent="0.25">
      <c r="A273" s="20" t="str">
        <f t="shared" si="4"/>
        <v/>
      </c>
      <c r="B273" s="21"/>
      <c r="C273" s="22"/>
      <c r="D273" s="22"/>
      <c r="E273" s="22"/>
      <c r="F273" s="22"/>
      <c r="G273" s="22"/>
      <c r="H273" s="22"/>
      <c r="I273" s="22"/>
      <c r="J273" s="22"/>
      <c r="K273" s="22"/>
      <c r="L273" s="23"/>
      <c r="M273" s="24"/>
      <c r="N273" s="22"/>
      <c r="O273" s="15"/>
    </row>
    <row r="274" spans="1:15" x14ac:dyDescent="0.25">
      <c r="A274" s="20" t="str">
        <f t="shared" si="4"/>
        <v/>
      </c>
      <c r="B274" s="21"/>
      <c r="C274" s="22"/>
      <c r="D274" s="22"/>
      <c r="E274" s="22"/>
      <c r="F274" s="22"/>
      <c r="G274" s="22"/>
      <c r="H274" s="22"/>
      <c r="I274" s="22"/>
      <c r="J274" s="22"/>
      <c r="K274" s="22"/>
      <c r="L274" s="23"/>
      <c r="M274" s="24"/>
      <c r="N274" s="22"/>
      <c r="O274" s="15"/>
    </row>
    <row r="275" spans="1:15" x14ac:dyDescent="0.25">
      <c r="A275" s="20" t="str">
        <f t="shared" si="4"/>
        <v/>
      </c>
      <c r="B275" s="21"/>
      <c r="C275" s="22"/>
      <c r="D275" s="22"/>
      <c r="E275" s="22"/>
      <c r="F275" s="22"/>
      <c r="G275" s="22"/>
      <c r="H275" s="22"/>
      <c r="I275" s="22"/>
      <c r="J275" s="22"/>
      <c r="K275" s="22"/>
      <c r="L275" s="23"/>
      <c r="M275" s="24"/>
      <c r="N275" s="22"/>
      <c r="O275" s="15"/>
    </row>
    <row r="276" spans="1:15" x14ac:dyDescent="0.25">
      <c r="A276" s="20" t="str">
        <f t="shared" si="4"/>
        <v/>
      </c>
      <c r="B276" s="21"/>
      <c r="C276" s="22"/>
      <c r="D276" s="22"/>
      <c r="E276" s="22"/>
      <c r="F276" s="22"/>
      <c r="G276" s="22"/>
      <c r="H276" s="22"/>
      <c r="I276" s="22"/>
      <c r="J276" s="22"/>
      <c r="K276" s="22"/>
      <c r="L276" s="23"/>
      <c r="M276" s="24"/>
      <c r="N276" s="22"/>
      <c r="O276" s="15"/>
    </row>
    <row r="277" spans="1:15" x14ac:dyDescent="0.25">
      <c r="A277" s="20" t="str">
        <f t="shared" si="4"/>
        <v/>
      </c>
      <c r="B277" s="21"/>
      <c r="C277" s="22"/>
      <c r="D277" s="22"/>
      <c r="E277" s="22"/>
      <c r="F277" s="22"/>
      <c r="G277" s="22"/>
      <c r="H277" s="22"/>
      <c r="I277" s="22"/>
      <c r="J277" s="22"/>
      <c r="K277" s="22"/>
      <c r="L277" s="23"/>
      <c r="M277" s="24"/>
      <c r="N277" s="22"/>
      <c r="O277" s="15"/>
    </row>
    <row r="278" spans="1:15" x14ac:dyDescent="0.25">
      <c r="A278" s="20" t="str">
        <f t="shared" si="4"/>
        <v/>
      </c>
      <c r="B278" s="21"/>
      <c r="C278" s="22"/>
      <c r="D278" s="22"/>
      <c r="E278" s="22"/>
      <c r="F278" s="22"/>
      <c r="G278" s="22"/>
      <c r="H278" s="22"/>
      <c r="I278" s="22"/>
      <c r="J278" s="22"/>
      <c r="K278" s="22"/>
      <c r="L278" s="23"/>
      <c r="M278" s="24"/>
      <c r="N278" s="22"/>
      <c r="O278" s="15"/>
    </row>
    <row r="279" spans="1:15" x14ac:dyDescent="0.25">
      <c r="A279" s="20" t="str">
        <f t="shared" si="4"/>
        <v/>
      </c>
      <c r="B279" s="21"/>
      <c r="C279" s="22"/>
      <c r="D279" s="22"/>
      <c r="E279" s="22"/>
      <c r="F279" s="22"/>
      <c r="G279" s="22"/>
      <c r="H279" s="22"/>
      <c r="I279" s="22"/>
      <c r="J279" s="22"/>
      <c r="K279" s="22"/>
      <c r="L279" s="23"/>
      <c r="M279" s="24"/>
      <c r="N279" s="22"/>
      <c r="O279" s="15"/>
    </row>
    <row r="280" spans="1:15" x14ac:dyDescent="0.25">
      <c r="A280" s="20" t="str">
        <f t="shared" si="4"/>
        <v/>
      </c>
      <c r="B280" s="21"/>
      <c r="C280" s="22"/>
      <c r="D280" s="22"/>
      <c r="E280" s="22"/>
      <c r="F280" s="22"/>
      <c r="G280" s="22"/>
      <c r="H280" s="22"/>
      <c r="I280" s="22"/>
      <c r="J280" s="22"/>
      <c r="K280" s="22"/>
      <c r="L280" s="23"/>
      <c r="M280" s="24"/>
      <c r="N280" s="22"/>
      <c r="O280" s="15"/>
    </row>
    <row r="281" spans="1:15" x14ac:dyDescent="0.25">
      <c r="A281" s="20" t="str">
        <f t="shared" si="4"/>
        <v/>
      </c>
      <c r="B281" s="21"/>
      <c r="C281" s="22"/>
      <c r="D281" s="22"/>
      <c r="E281" s="22"/>
      <c r="F281" s="22"/>
      <c r="G281" s="22"/>
      <c r="H281" s="22"/>
      <c r="I281" s="22"/>
      <c r="J281" s="22"/>
      <c r="K281" s="22"/>
      <c r="L281" s="23"/>
      <c r="M281" s="24"/>
      <c r="N281" s="22"/>
      <c r="O281" s="15"/>
    </row>
    <row r="282" spans="1:15" x14ac:dyDescent="0.25">
      <c r="A282" s="20" t="str">
        <f t="shared" si="4"/>
        <v/>
      </c>
      <c r="B282" s="21"/>
      <c r="C282" s="22"/>
      <c r="D282" s="22"/>
      <c r="E282" s="22"/>
      <c r="F282" s="22"/>
      <c r="G282" s="22"/>
      <c r="H282" s="22"/>
      <c r="I282" s="22"/>
      <c r="J282" s="22"/>
      <c r="K282" s="22"/>
      <c r="L282" s="23"/>
      <c r="M282" s="24"/>
      <c r="N282" s="22"/>
      <c r="O282" s="15"/>
    </row>
    <row r="283" spans="1:15" x14ac:dyDescent="0.25">
      <c r="A283" s="20" t="str">
        <f t="shared" si="4"/>
        <v/>
      </c>
      <c r="B283" s="21"/>
      <c r="C283" s="22"/>
      <c r="D283" s="22"/>
      <c r="E283" s="22"/>
      <c r="F283" s="22"/>
      <c r="G283" s="22"/>
      <c r="H283" s="22"/>
      <c r="I283" s="22"/>
      <c r="J283" s="22"/>
      <c r="K283" s="22"/>
      <c r="L283" s="23"/>
      <c r="M283" s="24"/>
      <c r="N283" s="22"/>
      <c r="O283" s="15"/>
    </row>
    <row r="284" spans="1:15" x14ac:dyDescent="0.25">
      <c r="A284" s="20" t="str">
        <f t="shared" si="4"/>
        <v/>
      </c>
      <c r="B284" s="21"/>
      <c r="C284" s="22"/>
      <c r="D284" s="22"/>
      <c r="E284" s="22"/>
      <c r="F284" s="22"/>
      <c r="G284" s="22"/>
      <c r="H284" s="22"/>
      <c r="I284" s="22"/>
      <c r="J284" s="22"/>
      <c r="K284" s="22"/>
      <c r="L284" s="23"/>
      <c r="M284" s="24"/>
      <c r="N284" s="22"/>
      <c r="O284" s="15"/>
    </row>
    <row r="285" spans="1:15" x14ac:dyDescent="0.25">
      <c r="A285" s="20" t="str">
        <f t="shared" si="4"/>
        <v/>
      </c>
      <c r="B285" s="21"/>
      <c r="C285" s="22"/>
      <c r="D285" s="22"/>
      <c r="E285" s="22"/>
      <c r="F285" s="22"/>
      <c r="G285" s="22"/>
      <c r="H285" s="22"/>
      <c r="I285" s="22"/>
      <c r="J285" s="22"/>
      <c r="K285" s="22"/>
      <c r="L285" s="23"/>
      <c r="M285" s="24"/>
      <c r="N285" s="22"/>
      <c r="O285" s="15"/>
    </row>
    <row r="286" spans="1:15" x14ac:dyDescent="0.25">
      <c r="A286" s="20" t="str">
        <f t="shared" si="4"/>
        <v/>
      </c>
      <c r="B286" s="21"/>
      <c r="C286" s="22"/>
      <c r="D286" s="22"/>
      <c r="E286" s="22"/>
      <c r="F286" s="22"/>
      <c r="G286" s="22"/>
      <c r="H286" s="22"/>
      <c r="I286" s="22"/>
      <c r="J286" s="22"/>
      <c r="K286" s="22"/>
      <c r="L286" s="23"/>
      <c r="M286" s="24"/>
      <c r="N286" s="22"/>
      <c r="O286" s="15"/>
    </row>
    <row r="287" spans="1:15" x14ac:dyDescent="0.25">
      <c r="A287" s="20" t="str">
        <f t="shared" si="4"/>
        <v/>
      </c>
      <c r="B287" s="21"/>
      <c r="C287" s="22"/>
      <c r="D287" s="22"/>
      <c r="E287" s="22"/>
      <c r="F287" s="22"/>
      <c r="G287" s="22"/>
      <c r="H287" s="22"/>
      <c r="I287" s="22"/>
      <c r="J287" s="22"/>
      <c r="K287" s="22"/>
      <c r="L287" s="23"/>
      <c r="M287" s="24"/>
      <c r="N287" s="22"/>
      <c r="O287" s="15"/>
    </row>
    <row r="288" spans="1:15" x14ac:dyDescent="0.25">
      <c r="A288" s="20" t="str">
        <f t="shared" si="4"/>
        <v/>
      </c>
      <c r="B288" s="21"/>
      <c r="C288" s="22"/>
      <c r="D288" s="22"/>
      <c r="E288" s="22"/>
      <c r="F288" s="22"/>
      <c r="G288" s="22"/>
      <c r="H288" s="22"/>
      <c r="I288" s="22"/>
      <c r="J288" s="22"/>
      <c r="K288" s="22"/>
      <c r="L288" s="23"/>
      <c r="M288" s="24"/>
      <c r="N288" s="22"/>
      <c r="O288" s="15"/>
    </row>
    <row r="289" spans="1:15" x14ac:dyDescent="0.25">
      <c r="A289" s="20" t="str">
        <f t="shared" si="4"/>
        <v/>
      </c>
      <c r="B289" s="21"/>
      <c r="C289" s="22"/>
      <c r="D289" s="22"/>
      <c r="E289" s="22"/>
      <c r="F289" s="22"/>
      <c r="G289" s="22"/>
      <c r="H289" s="22"/>
      <c r="I289" s="22"/>
      <c r="J289" s="22"/>
      <c r="K289" s="22"/>
      <c r="L289" s="23"/>
      <c r="M289" s="24"/>
      <c r="N289" s="22"/>
      <c r="O289" s="15"/>
    </row>
    <row r="290" spans="1:15" x14ac:dyDescent="0.25">
      <c r="A290" s="20" t="str">
        <f t="shared" si="4"/>
        <v/>
      </c>
      <c r="B290" s="21"/>
      <c r="C290" s="22"/>
      <c r="D290" s="22"/>
      <c r="E290" s="22"/>
      <c r="F290" s="22"/>
      <c r="G290" s="22"/>
      <c r="H290" s="22"/>
      <c r="I290" s="22"/>
      <c r="J290" s="22"/>
      <c r="K290" s="22"/>
      <c r="L290" s="23"/>
      <c r="M290" s="24"/>
      <c r="N290" s="22"/>
      <c r="O290" s="15"/>
    </row>
    <row r="291" spans="1:15" x14ac:dyDescent="0.25">
      <c r="A291" s="20" t="str">
        <f t="shared" si="4"/>
        <v/>
      </c>
      <c r="B291" s="21"/>
      <c r="C291" s="22"/>
      <c r="D291" s="22"/>
      <c r="E291" s="22"/>
      <c r="F291" s="22"/>
      <c r="G291" s="22"/>
      <c r="H291" s="22"/>
      <c r="I291" s="22"/>
      <c r="J291" s="22"/>
      <c r="K291" s="22"/>
      <c r="L291" s="23"/>
      <c r="M291" s="24"/>
      <c r="N291" s="22"/>
      <c r="O291" s="15"/>
    </row>
    <row r="292" spans="1:15" x14ac:dyDescent="0.25">
      <c r="A292" s="20" t="str">
        <f t="shared" si="4"/>
        <v/>
      </c>
      <c r="B292" s="21"/>
      <c r="C292" s="22"/>
      <c r="D292" s="22"/>
      <c r="E292" s="22"/>
      <c r="F292" s="22"/>
      <c r="G292" s="22"/>
      <c r="H292" s="22"/>
      <c r="I292" s="22"/>
      <c r="J292" s="22"/>
      <c r="K292" s="22"/>
      <c r="L292" s="23"/>
      <c r="M292" s="24"/>
      <c r="N292" s="22"/>
      <c r="O292" s="15"/>
    </row>
    <row r="293" spans="1:15" x14ac:dyDescent="0.25">
      <c r="A293" s="20" t="str">
        <f t="shared" si="4"/>
        <v/>
      </c>
      <c r="B293" s="21"/>
      <c r="C293" s="22"/>
      <c r="D293" s="22"/>
      <c r="E293" s="22"/>
      <c r="F293" s="22"/>
      <c r="G293" s="22"/>
      <c r="H293" s="22"/>
      <c r="I293" s="22"/>
      <c r="J293" s="22"/>
      <c r="K293" s="22"/>
      <c r="L293" s="23"/>
      <c r="M293" s="24"/>
      <c r="N293" s="22"/>
      <c r="O293" s="15"/>
    </row>
    <row r="294" spans="1:15" x14ac:dyDescent="0.25">
      <c r="A294" s="20" t="str">
        <f t="shared" si="4"/>
        <v/>
      </c>
      <c r="B294" s="21"/>
      <c r="C294" s="22"/>
      <c r="D294" s="22"/>
      <c r="E294" s="22"/>
      <c r="F294" s="22"/>
      <c r="G294" s="22"/>
      <c r="H294" s="22"/>
      <c r="I294" s="22"/>
      <c r="J294" s="22"/>
      <c r="K294" s="22"/>
      <c r="L294" s="23"/>
      <c r="M294" s="24"/>
      <c r="N294" s="22"/>
      <c r="O294" s="15"/>
    </row>
    <row r="295" spans="1:15" x14ac:dyDescent="0.25">
      <c r="A295" s="20" t="str">
        <f t="shared" si="4"/>
        <v/>
      </c>
      <c r="B295" s="21"/>
      <c r="C295" s="22"/>
      <c r="D295" s="22"/>
      <c r="E295" s="22"/>
      <c r="F295" s="22"/>
      <c r="G295" s="22"/>
      <c r="H295" s="22"/>
      <c r="I295" s="22"/>
      <c r="J295" s="22"/>
      <c r="K295" s="22"/>
      <c r="L295" s="23"/>
      <c r="M295" s="24"/>
      <c r="N295" s="22"/>
      <c r="O295" s="15"/>
    </row>
    <row r="296" spans="1:15" x14ac:dyDescent="0.25">
      <c r="A296" s="20" t="str">
        <f t="shared" si="4"/>
        <v/>
      </c>
      <c r="B296" s="21"/>
      <c r="C296" s="22"/>
      <c r="D296" s="22"/>
      <c r="E296" s="22"/>
      <c r="F296" s="22"/>
      <c r="G296" s="22"/>
      <c r="H296" s="22"/>
      <c r="I296" s="22"/>
      <c r="J296" s="22"/>
      <c r="K296" s="22"/>
      <c r="L296" s="23"/>
      <c r="M296" s="24"/>
      <c r="N296" s="22"/>
      <c r="O296" s="15"/>
    </row>
    <row r="297" spans="1:15" x14ac:dyDescent="0.25">
      <c r="A297" s="20" t="str">
        <f t="shared" si="4"/>
        <v/>
      </c>
      <c r="B297" s="21"/>
      <c r="C297" s="22"/>
      <c r="D297" s="22"/>
      <c r="E297" s="22"/>
      <c r="F297" s="22"/>
      <c r="G297" s="22"/>
      <c r="H297" s="22"/>
      <c r="I297" s="22"/>
      <c r="J297" s="22"/>
      <c r="K297" s="22"/>
      <c r="L297" s="23"/>
      <c r="M297" s="24"/>
      <c r="N297" s="22"/>
      <c r="O297" s="15"/>
    </row>
    <row r="298" spans="1:15" x14ac:dyDescent="0.25">
      <c r="A298" s="20" t="str">
        <f t="shared" si="4"/>
        <v/>
      </c>
      <c r="B298" s="21"/>
      <c r="C298" s="22"/>
      <c r="D298" s="22"/>
      <c r="E298" s="22"/>
      <c r="F298" s="22"/>
      <c r="G298" s="22"/>
      <c r="H298" s="22"/>
      <c r="I298" s="22"/>
      <c r="J298" s="22"/>
      <c r="K298" s="22"/>
      <c r="L298" s="23"/>
      <c r="M298" s="24"/>
      <c r="N298" s="22"/>
      <c r="O298" s="15"/>
    </row>
    <row r="299" spans="1:15" x14ac:dyDescent="0.25">
      <c r="A299" s="20" t="str">
        <f t="shared" si="4"/>
        <v/>
      </c>
      <c r="B299" s="21"/>
      <c r="C299" s="22"/>
      <c r="D299" s="22"/>
      <c r="E299" s="22"/>
      <c r="F299" s="22"/>
      <c r="G299" s="22"/>
      <c r="H299" s="22"/>
      <c r="I299" s="22"/>
      <c r="J299" s="22"/>
      <c r="K299" s="22"/>
      <c r="L299" s="23"/>
      <c r="M299" s="24"/>
      <c r="N299" s="22"/>
      <c r="O299" s="15"/>
    </row>
    <row r="300" spans="1:15" x14ac:dyDescent="0.25">
      <c r="A300" s="20" t="str">
        <f t="shared" si="4"/>
        <v/>
      </c>
      <c r="B300" s="21"/>
      <c r="C300" s="22"/>
      <c r="D300" s="22"/>
      <c r="E300" s="22"/>
      <c r="F300" s="22"/>
      <c r="G300" s="22"/>
      <c r="H300" s="22"/>
      <c r="I300" s="22"/>
      <c r="J300" s="22"/>
      <c r="K300" s="22"/>
      <c r="L300" s="23"/>
      <c r="M300" s="24"/>
      <c r="N300" s="22"/>
      <c r="O300" s="15"/>
    </row>
    <row r="301" spans="1:15" x14ac:dyDescent="0.25">
      <c r="A301" s="20" t="str">
        <f t="shared" si="4"/>
        <v/>
      </c>
      <c r="B301" s="21"/>
      <c r="C301" s="22"/>
      <c r="D301" s="22"/>
      <c r="E301" s="22"/>
      <c r="F301" s="22"/>
      <c r="G301" s="22"/>
      <c r="H301" s="22"/>
      <c r="I301" s="22"/>
      <c r="J301" s="22"/>
      <c r="K301" s="22"/>
      <c r="L301" s="23"/>
      <c r="M301" s="24"/>
      <c r="N301" s="22"/>
      <c r="O301" s="15"/>
    </row>
  </sheetData>
  <autoFilter ref="A1:O301" xr:uid="{00000000-0009-0000-0000-000002000000}"/>
  <conditionalFormatting sqref="B2:O301">
    <cfRule type="expression" dxfId="3" priority="1" stopIfTrue="1">
      <formula>OR(AND($B2&lt;&gt;"",$D2=""),AND($D2&lt;&gt;"",$B2=""),AND($H2="Sí",$F2&lt;&gt;"GAM",$F2&lt;&gt;"Fuera de GAM"),AND($J2="Sí",$H2&lt;&gt;"Sí"),AND($K2="Sí",$J2&lt;&gt;"Sí"),AND($K2="Sí",$L2=""),AND($L2&lt;&gt;"",$K2&lt;&gt;"Sí"))</formula>
    </cfRule>
    <cfRule type="expression" dxfId="2" priority="2">
      <formula>$G2="Sí"</formula>
    </cfRule>
  </conditionalFormatting>
  <dataValidations count="14">
    <dataValidation type="date" allowBlank="1" showInputMessage="1" showErrorMessage="1" errorTitle="Fecha no válida" error="Escribí la fecha como dd/mm/aaaa." promptTitle="Fecha" prompt="Día en que la persona escribió por primera vez (dd/mm/aaaa)." sqref="B2:B301" xr:uid="{00000000-0002-0000-0200-000000000000}">
      <formula1>DATE(2026,1,1)</formula1>
      <formula2>DATE(2030,12,31)</formula2>
    </dataValidation>
    <dataValidation type="list" allowBlank="1" showInputMessage="1" showErrorMessage="1" errorTitle="Valor no válido" error="Elegí un canal de la lista." promptTitle="Canal de origen" prompt="Dónde vio la publicación. Si no lo dijo, No dijo. No insistir." sqref="C2:C301" xr:uid="{00000000-0002-0000-0200-000001000000}">
      <formula1>"Instagram,Facebook,TikTok,Recomendación,Otro,No dijo"</formula1>
    </dataValidation>
    <dataValidation type="list" allowBlank="1" showInputMessage="1" showErrorMessage="1" errorTitle="Valor no válido" error="Elegí un código de la lista: GAME1, GAME2, RETRO1, RGB1, OTRO o SIN CODIGO." promptTitle="Código de pieza" prompt="El código que escribió la persona. Si no dijo código: SIN CODIGO. Si vino por otra publicación: OTRO." sqref="D2:D301" xr:uid="{00000000-0002-0000-0200-000002000000}">
      <formula1>"GAME1,GAME2,RETRO1,RGB1,OTRO,SIN CODIGO"</formula1>
    </dataValidation>
    <dataValidation type="list" allowBlank="1" showInputMessage="1" showErrorMessage="1" errorTitle="Valor no válido" error="Elegí un producto de la lista." promptTitle="Producto consultado" prompt="Lo que preguntó, aunque no coincida con el video que vio." sqref="E2:E301" xr:uid="{00000000-0002-0000-0200-000003000000}">
      <formula1>"Audífonos gaming,Consola retro,Mouse o periférico,Otro producto,No dijo"</formula1>
    </dataValidation>
    <dataValidation type="list" allowBlank="1" showInputMessage="1" showErrorMessage="1" errorTitle="Valor no válido" error="Elegí GAM, Fuera de GAM o No dijo." promptTitle="Zona" prompt="Solo GAM, Fuera de GAM o No dijo. NUNCA la dirección." sqref="F2:F301" xr:uid="{00000000-0002-0000-0200-000004000000}">
      <formula1>"GAM,Fuera de GAM,No dijo"</formula1>
    </dataValidation>
    <dataValidation type="list" allowBlank="1" showInputMessage="1" showErrorMessage="1" errorTitle="Valor no válido" error="Elegí Sí o No." promptTitle="¿Consulta repetida?" prompt="Sí si la misma persona ya tenía una fila por lo mismo. Actualizá la fila original; esta no se cuenta." sqref="G2:G301" xr:uid="{00000000-0002-0000-0200-000005000000}">
      <formula1>"Sí,No"</formula1>
    </dataValidation>
    <dataValidation type="list" allowBlank="1" showInputMessage="1" showErrorMessage="1" errorTitle="Valor no válido" error="Elegí Sí o No." promptTitle="Cualificada" prompt="Sí solo si dijo producto o necesidad Y zona de entrega." sqref="H2:H301" xr:uid="{00000000-0002-0000-0200-000006000000}">
      <formula1>"Sí,No"</formula1>
    </dataValidation>
    <dataValidation type="list" allowBlank="1" showInputMessage="1" showErrorMessage="1" errorTitle="Valor no válido" error="Elegí Sí o No." promptTitle="Cotizada" prompt="Sí si le mandaste precio final con envío." sqref="I2:I301" xr:uid="{00000000-0002-0000-0200-000007000000}">
      <formula1>"Sí,No"</formula1>
    </dataValidation>
    <dataValidation type="list" allowBlank="1" showInputMessage="1" showErrorMessage="1" errorTitle="Valor no válido" error="Elegí Sí o No." promptTitle="Pedido confirmado" prompt="Sí si confirmó la compra. Todavía no es cobro." sqref="J2:J301" xr:uid="{00000000-0002-0000-0200-000008000000}">
      <formula1>"Sí,No"</formula1>
    </dataValidation>
    <dataValidation type="list" allowBlank="1" showInputMessage="1" showErrorMessage="1" errorTitle="Valor no válido" error="Elegí Sí o No." promptTitle="Cobrado" prompt="Sí solo cuando el pago entró. Anotá el monto en la columna siguiente." sqref="K2:K301" xr:uid="{00000000-0002-0000-0200-000009000000}">
      <formula1>"Sí,No"</formula1>
    </dataValidation>
    <dataValidation type="decimal" operator="greaterThanOrEqual" allowBlank="1" showInputMessage="1" showErrorMessage="1" errorTitle="Monto no válido" error="Solo números en colones." promptTitle="Monto cobrado" prompt="Solo si Cobrado = Sí. Número en colones, sin ₡." sqref="L2:L301" xr:uid="{00000000-0002-0000-0200-00000A000000}">
      <formula1>0</formula1>
    </dataValidation>
    <dataValidation type="whole" operator="greaterThanOrEqual" allowBlank="1" showInputMessage="1" showErrorMessage="1" errorTitle="Minutos no válidos" error="Número entero de minutos." promptTitle="Minutos" prompt="Minutos desde que escribió hasta tu primera respuesta." sqref="M2:M301" xr:uid="{00000000-0002-0000-0200-00000B000000}">
      <formula1>0</formula1>
    </dataValidation>
    <dataValidation type="list" allowBlank="1" showInputMessage="1" showErrorMessage="1" errorTitle="Valor no válido" error="Elegí una objeción de la lista." promptTitle="Objeción principal" prompt="La duda o freno principal. Vacía si no hubo." sqref="N2:N301" xr:uid="{00000000-0002-0000-0200-00000C000000}">
      <formula1>"Precio,Compatibilidad,Envío,Garantía,Confianza,Stock,Otra"</formula1>
    </dataValidation>
    <dataValidation type="textLength" operator="lessThanOrEqual" allowBlank="1" showInputMessage="1" showErrorMessage="1" errorTitle="Nota muy larga" error="Máximo 150 caracteres." promptTitle="Nota breve" prompt="SIN nombres, teléfonos, direcciones ni capturas. Ej.: duda de compatibilidad con consola." sqref="O2:O301" xr:uid="{00000000-0002-0000-0200-00000D000000}">
      <formula1>150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86"/>
  <sheetViews>
    <sheetView showGridLines="0" workbookViewId="0"/>
  </sheetViews>
  <sheetFormatPr baseColWidth="10" defaultColWidth="9.140625" defaultRowHeight="15" x14ac:dyDescent="0.25"/>
  <cols>
    <col min="1" max="1" width="16" customWidth="1"/>
    <col min="2" max="6" width="12" customWidth="1"/>
    <col min="7" max="7" width="14" customWidth="1"/>
    <col min="8" max="8" width="16" customWidth="1"/>
    <col min="9" max="10" width="14" customWidth="1"/>
    <col min="11" max="11" width="16" customWidth="1"/>
    <col min="12" max="12" width="14" customWidth="1"/>
  </cols>
  <sheetData>
    <row r="1" spans="1:12" ht="18" x14ac:dyDescent="0.25">
      <c r="A1" s="1" t="s">
        <v>110</v>
      </c>
    </row>
    <row r="2" spans="1:12" x14ac:dyDescent="0.25">
      <c r="A2" s="2" t="s">
        <v>111</v>
      </c>
    </row>
    <row r="4" spans="1:12" x14ac:dyDescent="0.25">
      <c r="A4" s="25" t="s">
        <v>112</v>
      </c>
      <c r="B4" s="26"/>
      <c r="C4" s="2" t="s">
        <v>113</v>
      </c>
    </row>
    <row r="5" spans="1:12" x14ac:dyDescent="0.25">
      <c r="A5" s="25" t="s">
        <v>114</v>
      </c>
      <c r="B5" s="26"/>
      <c r="C5" s="2" t="s">
        <v>115</v>
      </c>
    </row>
    <row r="6" spans="1:12" x14ac:dyDescent="0.25">
      <c r="A6" s="25" t="s">
        <v>116</v>
      </c>
      <c r="B6" s="55" t="str">
        <f>IF(SUM(I79:I85)=0,"Sin inconsistencias detectadas en «Consultas».","Hay "&amp;SUM(I79:I85)&amp;" inconsistencias: revisá las filas en rojo de «Consultas» y el control al final de esta hoja.")</f>
        <v>Sin inconsistencias detectadas en «Consultas».</v>
      </c>
      <c r="C6" s="56"/>
      <c r="D6" s="56"/>
      <c r="E6" s="56"/>
      <c r="F6" s="56"/>
      <c r="G6" s="56"/>
      <c r="H6" s="56"/>
      <c r="I6" s="56"/>
      <c r="J6" s="56"/>
      <c r="K6" s="56"/>
    </row>
    <row r="8" spans="1:12" x14ac:dyDescent="0.25">
      <c r="A8" s="3" t="s">
        <v>117</v>
      </c>
    </row>
    <row r="9" spans="1:12" ht="44.1" customHeight="1" x14ac:dyDescent="0.25">
      <c r="A9" s="9" t="s">
        <v>68</v>
      </c>
      <c r="B9" s="9" t="s">
        <v>118</v>
      </c>
      <c r="C9" s="9" t="s">
        <v>119</v>
      </c>
      <c r="D9" s="9" t="s">
        <v>120</v>
      </c>
      <c r="E9" s="9" t="s">
        <v>121</v>
      </c>
      <c r="F9" s="9" t="s">
        <v>122</v>
      </c>
      <c r="G9" s="9" t="s">
        <v>123</v>
      </c>
      <c r="H9" s="27" t="s">
        <v>124</v>
      </c>
      <c r="I9" s="9" t="s">
        <v>125</v>
      </c>
      <c r="J9" s="9" t="s">
        <v>126</v>
      </c>
      <c r="K9" s="9" t="s">
        <v>127</v>
      </c>
      <c r="L9" s="9" t="s">
        <v>55</v>
      </c>
    </row>
    <row r="10" spans="1:12" x14ac:dyDescent="0.25">
      <c r="A10" s="28" t="s">
        <v>128</v>
      </c>
      <c r="B10" s="29">
        <f>COUNTIFS(Consultas!$D$2:$D$1000,$A10,Consultas!$G$2:$G$1000,"&lt;&gt;Sí",Consultas!$B$2:$B$1000,"&gt;="&amp;IF($B$4="",1,$B$4),Consultas!$B$2:$B$1000,"&lt;="&amp;IF($B$5="",2958465,$B$5))</f>
        <v>0</v>
      </c>
      <c r="C10" s="29">
        <f>COUNTIFS(Consultas!$D$2:$D$1000,$A10,Consultas!$G$2:$G$1000,"&lt;&gt;Sí",Consultas!$B$2:$B$1000,"&gt;="&amp;IF($B$4="",1,$B$4),Consultas!$B$2:$B$1000,"&lt;="&amp;IF($B$5="",2958465,$B$5),Consultas!$H$2:$H$1000,"Sí")</f>
        <v>0</v>
      </c>
      <c r="D10" s="29">
        <f>COUNTIFS(Consultas!$D$2:$D$1000,$A10,Consultas!$G$2:$G$1000,"&lt;&gt;Sí",Consultas!$B$2:$B$1000,"&gt;="&amp;IF($B$4="",1,$B$4),Consultas!$B$2:$B$1000,"&lt;="&amp;IF($B$5="",2958465,$B$5),Consultas!$I$2:$I$1000,"Sí")</f>
        <v>0</v>
      </c>
      <c r="E10" s="29">
        <f>COUNTIFS(Consultas!$D$2:$D$1000,$A10,Consultas!$G$2:$G$1000,"&lt;&gt;Sí",Consultas!$B$2:$B$1000,"&gt;="&amp;IF($B$4="",1,$B$4),Consultas!$B$2:$B$1000,"&lt;="&amp;IF($B$5="",2958465,$B$5),Consultas!$J$2:$J$1000,"Sí")</f>
        <v>0</v>
      </c>
      <c r="F10" s="29">
        <f>COUNTIFS(Consultas!$D$2:$D$1000,$A10,Consultas!$G$2:$G$1000,"&lt;&gt;Sí",Consultas!$B$2:$B$1000,"&gt;="&amp;IF($B$4="",1,$B$4),Consultas!$B$2:$B$1000,"&lt;="&amp;IF($B$5="",2958465,$B$5),Consultas!$K$2:$K$1000,"Sí")</f>
        <v>0</v>
      </c>
      <c r="G10" s="30">
        <f>SUMIFS(Consultas!$L$2:$L$1000,Consultas!$D$2:$D$1000,$A10,Consultas!$G$2:$G$1000,"&lt;&gt;Sí",Consultas!$B$2:$B$1000,"&gt;="&amp;IF($B$4="",1,$B$4),Consultas!$B$2:$B$1000,"&lt;="&amp;IF($B$5="",2958465,$B$5),Consultas!$K$2:$K$1000,"Sí")</f>
        <v>0</v>
      </c>
      <c r="H10" s="31"/>
      <c r="I10" s="32" t="str">
        <f t="shared" ref="I10:I16" si="0">IF(B10=0,"NO CALCULABLE",C10/B10)</f>
        <v>NO CALCULABLE</v>
      </c>
      <c r="J10" s="32" t="str">
        <f t="shared" ref="J10:J16" si="1">IF(C10=0,"NO CALCULABLE",E10/C10)</f>
        <v>NO CALCULABLE</v>
      </c>
      <c r="K10" s="33" t="str">
        <f t="shared" ref="K10:K15" si="2">IF(C10=0,"NO CALCULABLE",IF(N(H10)&lt;=0,"SIN PAUTA",H10/C10))</f>
        <v>NO CALCULABLE</v>
      </c>
      <c r="L10" s="34" t="str">
        <f>IF(N($E$26)=0,"NO CALCULABLE",C10/$E$26)</f>
        <v>NO CALCULABLE</v>
      </c>
    </row>
    <row r="11" spans="1:12" x14ac:dyDescent="0.25">
      <c r="A11" s="28" t="s">
        <v>129</v>
      </c>
      <c r="B11" s="29">
        <f>COUNTIFS(Consultas!$D$2:$D$1000,$A11,Consultas!$G$2:$G$1000,"&lt;&gt;Sí",Consultas!$B$2:$B$1000,"&gt;="&amp;IF($B$4="",1,$B$4),Consultas!$B$2:$B$1000,"&lt;="&amp;IF($B$5="",2958465,$B$5))</f>
        <v>0</v>
      </c>
      <c r="C11" s="29">
        <f>COUNTIFS(Consultas!$D$2:$D$1000,$A11,Consultas!$G$2:$G$1000,"&lt;&gt;Sí",Consultas!$B$2:$B$1000,"&gt;="&amp;IF($B$4="",1,$B$4),Consultas!$B$2:$B$1000,"&lt;="&amp;IF($B$5="",2958465,$B$5),Consultas!$H$2:$H$1000,"Sí")</f>
        <v>0</v>
      </c>
      <c r="D11" s="29">
        <f>COUNTIFS(Consultas!$D$2:$D$1000,$A11,Consultas!$G$2:$G$1000,"&lt;&gt;Sí",Consultas!$B$2:$B$1000,"&gt;="&amp;IF($B$4="",1,$B$4),Consultas!$B$2:$B$1000,"&lt;="&amp;IF($B$5="",2958465,$B$5),Consultas!$I$2:$I$1000,"Sí")</f>
        <v>0</v>
      </c>
      <c r="E11" s="29">
        <f>COUNTIFS(Consultas!$D$2:$D$1000,$A11,Consultas!$G$2:$G$1000,"&lt;&gt;Sí",Consultas!$B$2:$B$1000,"&gt;="&amp;IF($B$4="",1,$B$4),Consultas!$B$2:$B$1000,"&lt;="&amp;IF($B$5="",2958465,$B$5),Consultas!$J$2:$J$1000,"Sí")</f>
        <v>0</v>
      </c>
      <c r="F11" s="29">
        <f>COUNTIFS(Consultas!$D$2:$D$1000,$A11,Consultas!$G$2:$G$1000,"&lt;&gt;Sí",Consultas!$B$2:$B$1000,"&gt;="&amp;IF($B$4="",1,$B$4),Consultas!$B$2:$B$1000,"&lt;="&amp;IF($B$5="",2958465,$B$5),Consultas!$K$2:$K$1000,"Sí")</f>
        <v>0</v>
      </c>
      <c r="G11" s="30">
        <f>SUMIFS(Consultas!$L$2:$L$1000,Consultas!$D$2:$D$1000,$A11,Consultas!$G$2:$G$1000,"&lt;&gt;Sí",Consultas!$B$2:$B$1000,"&gt;="&amp;IF($B$4="",1,$B$4),Consultas!$B$2:$B$1000,"&lt;="&amp;IF($B$5="",2958465,$B$5),Consultas!$K$2:$K$1000,"Sí")</f>
        <v>0</v>
      </c>
      <c r="H11" s="31"/>
      <c r="I11" s="32" t="str">
        <f t="shared" si="0"/>
        <v>NO CALCULABLE</v>
      </c>
      <c r="J11" s="32" t="str">
        <f t="shared" si="1"/>
        <v>NO CALCULABLE</v>
      </c>
      <c r="K11" s="33" t="str">
        <f t="shared" si="2"/>
        <v>NO CALCULABLE</v>
      </c>
      <c r="L11" s="34" t="str">
        <f>IF(N($E$27)=0,"NO CALCULABLE",C11/$E$27)</f>
        <v>NO CALCULABLE</v>
      </c>
    </row>
    <row r="12" spans="1:12" x14ac:dyDescent="0.25">
      <c r="A12" s="28" t="s">
        <v>19</v>
      </c>
      <c r="B12" s="29">
        <f>COUNTIFS(Consultas!$D$2:$D$1000,$A12,Consultas!$G$2:$G$1000,"&lt;&gt;Sí",Consultas!$B$2:$B$1000,"&gt;="&amp;IF($B$4="",1,$B$4),Consultas!$B$2:$B$1000,"&lt;="&amp;IF($B$5="",2958465,$B$5))</f>
        <v>0</v>
      </c>
      <c r="C12" s="29">
        <f>COUNTIFS(Consultas!$D$2:$D$1000,$A12,Consultas!$G$2:$G$1000,"&lt;&gt;Sí",Consultas!$B$2:$B$1000,"&gt;="&amp;IF($B$4="",1,$B$4),Consultas!$B$2:$B$1000,"&lt;="&amp;IF($B$5="",2958465,$B$5),Consultas!$H$2:$H$1000,"Sí")</f>
        <v>0</v>
      </c>
      <c r="D12" s="29">
        <f>COUNTIFS(Consultas!$D$2:$D$1000,$A12,Consultas!$G$2:$G$1000,"&lt;&gt;Sí",Consultas!$B$2:$B$1000,"&gt;="&amp;IF($B$4="",1,$B$4),Consultas!$B$2:$B$1000,"&lt;="&amp;IF($B$5="",2958465,$B$5),Consultas!$I$2:$I$1000,"Sí")</f>
        <v>0</v>
      </c>
      <c r="E12" s="29">
        <f>COUNTIFS(Consultas!$D$2:$D$1000,$A12,Consultas!$G$2:$G$1000,"&lt;&gt;Sí",Consultas!$B$2:$B$1000,"&gt;="&amp;IF($B$4="",1,$B$4),Consultas!$B$2:$B$1000,"&lt;="&amp;IF($B$5="",2958465,$B$5),Consultas!$J$2:$J$1000,"Sí")</f>
        <v>0</v>
      </c>
      <c r="F12" s="29">
        <f>COUNTIFS(Consultas!$D$2:$D$1000,$A12,Consultas!$G$2:$G$1000,"&lt;&gt;Sí",Consultas!$B$2:$B$1000,"&gt;="&amp;IF($B$4="",1,$B$4),Consultas!$B$2:$B$1000,"&lt;="&amp;IF($B$5="",2958465,$B$5),Consultas!$K$2:$K$1000,"Sí")</f>
        <v>0</v>
      </c>
      <c r="G12" s="30">
        <f>SUMIFS(Consultas!$L$2:$L$1000,Consultas!$D$2:$D$1000,$A12,Consultas!$G$2:$G$1000,"&lt;&gt;Sí",Consultas!$B$2:$B$1000,"&gt;="&amp;IF($B$4="",1,$B$4),Consultas!$B$2:$B$1000,"&lt;="&amp;IF($B$5="",2958465,$B$5),Consultas!$K$2:$K$1000,"Sí")</f>
        <v>0</v>
      </c>
      <c r="H12" s="31"/>
      <c r="I12" s="32" t="str">
        <f t="shared" si="0"/>
        <v>NO CALCULABLE</v>
      </c>
      <c r="J12" s="32" t="str">
        <f t="shared" si="1"/>
        <v>NO CALCULABLE</v>
      </c>
      <c r="K12" s="33" t="str">
        <f t="shared" si="2"/>
        <v>NO CALCULABLE</v>
      </c>
      <c r="L12" s="34" t="str">
        <f>IF(N($E$28)=0,"NO CALCULABLE",C12/$E$28)</f>
        <v>NO CALCULABLE</v>
      </c>
    </row>
    <row r="13" spans="1:12" x14ac:dyDescent="0.25">
      <c r="A13" s="28" t="s">
        <v>21</v>
      </c>
      <c r="B13" s="29">
        <f>COUNTIFS(Consultas!$D$2:$D$1000,$A13,Consultas!$G$2:$G$1000,"&lt;&gt;Sí",Consultas!$B$2:$B$1000,"&gt;="&amp;IF($B$4="",1,$B$4),Consultas!$B$2:$B$1000,"&lt;="&amp;IF($B$5="",2958465,$B$5))</f>
        <v>0</v>
      </c>
      <c r="C13" s="29">
        <f>COUNTIFS(Consultas!$D$2:$D$1000,$A13,Consultas!$G$2:$G$1000,"&lt;&gt;Sí",Consultas!$B$2:$B$1000,"&gt;="&amp;IF($B$4="",1,$B$4),Consultas!$B$2:$B$1000,"&lt;="&amp;IF($B$5="",2958465,$B$5),Consultas!$H$2:$H$1000,"Sí")</f>
        <v>0</v>
      </c>
      <c r="D13" s="29">
        <f>COUNTIFS(Consultas!$D$2:$D$1000,$A13,Consultas!$G$2:$G$1000,"&lt;&gt;Sí",Consultas!$B$2:$B$1000,"&gt;="&amp;IF($B$4="",1,$B$4),Consultas!$B$2:$B$1000,"&lt;="&amp;IF($B$5="",2958465,$B$5),Consultas!$I$2:$I$1000,"Sí")</f>
        <v>0</v>
      </c>
      <c r="E13" s="29">
        <f>COUNTIFS(Consultas!$D$2:$D$1000,$A13,Consultas!$G$2:$G$1000,"&lt;&gt;Sí",Consultas!$B$2:$B$1000,"&gt;="&amp;IF($B$4="",1,$B$4),Consultas!$B$2:$B$1000,"&lt;="&amp;IF($B$5="",2958465,$B$5),Consultas!$J$2:$J$1000,"Sí")</f>
        <v>0</v>
      </c>
      <c r="F13" s="29">
        <f>COUNTIFS(Consultas!$D$2:$D$1000,$A13,Consultas!$G$2:$G$1000,"&lt;&gt;Sí",Consultas!$B$2:$B$1000,"&gt;="&amp;IF($B$4="",1,$B$4),Consultas!$B$2:$B$1000,"&lt;="&amp;IF($B$5="",2958465,$B$5),Consultas!$K$2:$K$1000,"Sí")</f>
        <v>0</v>
      </c>
      <c r="G13" s="30">
        <f>SUMIFS(Consultas!$L$2:$L$1000,Consultas!$D$2:$D$1000,$A13,Consultas!$G$2:$G$1000,"&lt;&gt;Sí",Consultas!$B$2:$B$1000,"&gt;="&amp;IF($B$4="",1,$B$4),Consultas!$B$2:$B$1000,"&lt;="&amp;IF($B$5="",2958465,$B$5),Consultas!$K$2:$K$1000,"Sí")</f>
        <v>0</v>
      </c>
      <c r="H13" s="31"/>
      <c r="I13" s="32" t="str">
        <f t="shared" si="0"/>
        <v>NO CALCULABLE</v>
      </c>
      <c r="J13" s="32" t="str">
        <f t="shared" si="1"/>
        <v>NO CALCULABLE</v>
      </c>
      <c r="K13" s="33" t="str">
        <f t="shared" si="2"/>
        <v>NO CALCULABLE</v>
      </c>
      <c r="L13" s="34" t="str">
        <f>IF(N($E$29)=0,"NO CALCULABLE",C13/$E$29)</f>
        <v>NO CALCULABLE</v>
      </c>
    </row>
    <row r="14" spans="1:12" x14ac:dyDescent="0.25">
      <c r="A14" s="28" t="s">
        <v>23</v>
      </c>
      <c r="B14" s="29">
        <f>COUNTIFS(Consultas!$D$2:$D$1000,$A14,Consultas!$G$2:$G$1000,"&lt;&gt;Sí",Consultas!$B$2:$B$1000,"&gt;="&amp;IF($B$4="",1,$B$4),Consultas!$B$2:$B$1000,"&lt;="&amp;IF($B$5="",2958465,$B$5))</f>
        <v>0</v>
      </c>
      <c r="C14" s="29">
        <f>COUNTIFS(Consultas!$D$2:$D$1000,$A14,Consultas!$G$2:$G$1000,"&lt;&gt;Sí",Consultas!$B$2:$B$1000,"&gt;="&amp;IF($B$4="",1,$B$4),Consultas!$B$2:$B$1000,"&lt;="&amp;IF($B$5="",2958465,$B$5),Consultas!$H$2:$H$1000,"Sí")</f>
        <v>0</v>
      </c>
      <c r="D14" s="29">
        <f>COUNTIFS(Consultas!$D$2:$D$1000,$A14,Consultas!$G$2:$G$1000,"&lt;&gt;Sí",Consultas!$B$2:$B$1000,"&gt;="&amp;IF($B$4="",1,$B$4),Consultas!$B$2:$B$1000,"&lt;="&amp;IF($B$5="",2958465,$B$5),Consultas!$I$2:$I$1000,"Sí")</f>
        <v>0</v>
      </c>
      <c r="E14" s="29">
        <f>COUNTIFS(Consultas!$D$2:$D$1000,$A14,Consultas!$G$2:$G$1000,"&lt;&gt;Sí",Consultas!$B$2:$B$1000,"&gt;="&amp;IF($B$4="",1,$B$4),Consultas!$B$2:$B$1000,"&lt;="&amp;IF($B$5="",2958465,$B$5),Consultas!$J$2:$J$1000,"Sí")</f>
        <v>0</v>
      </c>
      <c r="F14" s="29">
        <f>COUNTIFS(Consultas!$D$2:$D$1000,$A14,Consultas!$G$2:$G$1000,"&lt;&gt;Sí",Consultas!$B$2:$B$1000,"&gt;="&amp;IF($B$4="",1,$B$4),Consultas!$B$2:$B$1000,"&lt;="&amp;IF($B$5="",2958465,$B$5),Consultas!$K$2:$K$1000,"Sí")</f>
        <v>0</v>
      </c>
      <c r="G14" s="30">
        <f>SUMIFS(Consultas!$L$2:$L$1000,Consultas!$D$2:$D$1000,$A14,Consultas!$G$2:$G$1000,"&lt;&gt;Sí",Consultas!$B$2:$B$1000,"&gt;="&amp;IF($B$4="",1,$B$4),Consultas!$B$2:$B$1000,"&lt;="&amp;IF($B$5="",2958465,$B$5),Consultas!$K$2:$K$1000,"Sí")</f>
        <v>0</v>
      </c>
      <c r="H14" s="35" t="s">
        <v>130</v>
      </c>
      <c r="I14" s="32" t="str">
        <f t="shared" si="0"/>
        <v>NO CALCULABLE</v>
      </c>
      <c r="J14" s="32" t="str">
        <f t="shared" si="1"/>
        <v>NO CALCULABLE</v>
      </c>
      <c r="K14" s="33" t="str">
        <f t="shared" si="2"/>
        <v>NO CALCULABLE</v>
      </c>
      <c r="L14" s="35" t="s">
        <v>130</v>
      </c>
    </row>
    <row r="15" spans="1:12" x14ac:dyDescent="0.25">
      <c r="A15" s="28" t="s">
        <v>25</v>
      </c>
      <c r="B15" s="29">
        <f>COUNTIFS(Consultas!$D$2:$D$1000,$A15,Consultas!$G$2:$G$1000,"&lt;&gt;Sí",Consultas!$B$2:$B$1000,"&gt;="&amp;IF($B$4="",1,$B$4),Consultas!$B$2:$B$1000,"&lt;="&amp;IF($B$5="",2958465,$B$5))</f>
        <v>0</v>
      </c>
      <c r="C15" s="29">
        <f>COUNTIFS(Consultas!$D$2:$D$1000,$A15,Consultas!$G$2:$G$1000,"&lt;&gt;Sí",Consultas!$B$2:$B$1000,"&gt;="&amp;IF($B$4="",1,$B$4),Consultas!$B$2:$B$1000,"&lt;="&amp;IF($B$5="",2958465,$B$5),Consultas!$H$2:$H$1000,"Sí")</f>
        <v>0</v>
      </c>
      <c r="D15" s="29">
        <f>COUNTIFS(Consultas!$D$2:$D$1000,$A15,Consultas!$G$2:$G$1000,"&lt;&gt;Sí",Consultas!$B$2:$B$1000,"&gt;="&amp;IF($B$4="",1,$B$4),Consultas!$B$2:$B$1000,"&lt;="&amp;IF($B$5="",2958465,$B$5),Consultas!$I$2:$I$1000,"Sí")</f>
        <v>0</v>
      </c>
      <c r="E15" s="29">
        <f>COUNTIFS(Consultas!$D$2:$D$1000,$A15,Consultas!$G$2:$G$1000,"&lt;&gt;Sí",Consultas!$B$2:$B$1000,"&gt;="&amp;IF($B$4="",1,$B$4),Consultas!$B$2:$B$1000,"&lt;="&amp;IF($B$5="",2958465,$B$5),Consultas!$J$2:$J$1000,"Sí")</f>
        <v>0</v>
      </c>
      <c r="F15" s="29">
        <f>COUNTIFS(Consultas!$D$2:$D$1000,$A15,Consultas!$G$2:$G$1000,"&lt;&gt;Sí",Consultas!$B$2:$B$1000,"&gt;="&amp;IF($B$4="",1,$B$4),Consultas!$B$2:$B$1000,"&lt;="&amp;IF($B$5="",2958465,$B$5),Consultas!$K$2:$K$1000,"Sí")</f>
        <v>0</v>
      </c>
      <c r="G15" s="30">
        <f>SUMIFS(Consultas!$L$2:$L$1000,Consultas!$D$2:$D$1000,$A15,Consultas!$G$2:$G$1000,"&lt;&gt;Sí",Consultas!$B$2:$B$1000,"&gt;="&amp;IF($B$4="",1,$B$4),Consultas!$B$2:$B$1000,"&lt;="&amp;IF($B$5="",2958465,$B$5),Consultas!$K$2:$K$1000,"Sí")</f>
        <v>0</v>
      </c>
      <c r="H15" s="35" t="s">
        <v>130</v>
      </c>
      <c r="I15" s="32" t="str">
        <f t="shared" si="0"/>
        <v>NO CALCULABLE</v>
      </c>
      <c r="J15" s="32" t="str">
        <f t="shared" si="1"/>
        <v>NO CALCULABLE</v>
      </c>
      <c r="K15" s="33" t="str">
        <f t="shared" si="2"/>
        <v>NO CALCULABLE</v>
      </c>
      <c r="L15" s="35" t="s">
        <v>130</v>
      </c>
    </row>
    <row r="16" spans="1:12" x14ac:dyDescent="0.25">
      <c r="A16" s="36" t="s">
        <v>131</v>
      </c>
      <c r="B16" s="37">
        <f t="shared" ref="B16:G16" si="3">SUM(B10:B15)</f>
        <v>0</v>
      </c>
      <c r="C16" s="37">
        <f t="shared" si="3"/>
        <v>0</v>
      </c>
      <c r="D16" s="37">
        <f t="shared" si="3"/>
        <v>0</v>
      </c>
      <c r="E16" s="37">
        <f t="shared" si="3"/>
        <v>0</v>
      </c>
      <c r="F16" s="37">
        <f t="shared" si="3"/>
        <v>0</v>
      </c>
      <c r="G16" s="38">
        <f t="shared" si="3"/>
        <v>0</v>
      </c>
      <c r="H16" s="39" t="str">
        <f>IF(SUMIF($H$10:$H$13,"&gt;0")=0,"SIN PAUTA",SUMIF($H$10:$H$13,"&gt;0"))</f>
        <v>SIN PAUTA</v>
      </c>
      <c r="I16" s="40" t="str">
        <f t="shared" si="0"/>
        <v>NO CALCULABLE</v>
      </c>
      <c r="J16" s="40" t="str">
        <f t="shared" si="1"/>
        <v>NO CALCULABLE</v>
      </c>
      <c r="K16" s="39" t="str">
        <f>IF(C16=0,"NO CALCULABLE",IF(SUMIF($H$10:$H$13,"&gt;0")=0,"SIN PAUTA",IF(SUMIF($H$10:$H$13,"&gt;0",$C$10:$C$13)=0,"NO CALCULABLE",SUMIF($H$10:$H$13,"&gt;0")/SUMIF($H$10:$H$13,"&gt;0",$C$10:$C$13))))</f>
        <v>NO CALCULABLE</v>
      </c>
      <c r="L16" s="41" t="str">
        <f>IF(SUMIF($E$26:$E$29,"&gt;0")=0,"NO CALCULABLE",SUMIF($E$26:$E$29,"&gt;0",$C$10:$C$13)/SUMIF($E$26:$E$29,"&gt;0"))</f>
        <v>NO CALCULABLE</v>
      </c>
    </row>
    <row r="17" spans="1:9" x14ac:dyDescent="0.25">
      <c r="A17" s="2" t="s">
        <v>132</v>
      </c>
    </row>
    <row r="18" spans="1:9" x14ac:dyDescent="0.25">
      <c r="A18" s="2" t="s">
        <v>133</v>
      </c>
    </row>
    <row r="19" spans="1:9" x14ac:dyDescent="0.25">
      <c r="A19" s="2" t="s">
        <v>134</v>
      </c>
    </row>
    <row r="20" spans="1:9" x14ac:dyDescent="0.25">
      <c r="A20" s="2" t="s">
        <v>135</v>
      </c>
    </row>
    <row r="22" spans="1:9" x14ac:dyDescent="0.25">
      <c r="A22" s="3" t="s">
        <v>136</v>
      </c>
    </row>
    <row r="23" spans="1:9" x14ac:dyDescent="0.25">
      <c r="A23" s="2" t="s">
        <v>137</v>
      </c>
    </row>
    <row r="24" spans="1:9" x14ac:dyDescent="0.25">
      <c r="A24" s="2" t="s">
        <v>138</v>
      </c>
    </row>
    <row r="25" spans="1:9" ht="30" customHeight="1" x14ac:dyDescent="0.25">
      <c r="A25" s="9" t="s">
        <v>139</v>
      </c>
      <c r="B25" s="27" t="s">
        <v>140</v>
      </c>
      <c r="C25" s="27" t="s">
        <v>141</v>
      </c>
      <c r="D25" s="27" t="s">
        <v>142</v>
      </c>
      <c r="E25" s="9" t="s">
        <v>131</v>
      </c>
      <c r="F25" s="27" t="s">
        <v>143</v>
      </c>
    </row>
    <row r="26" spans="1:9" x14ac:dyDescent="0.25">
      <c r="A26" s="28" t="s">
        <v>128</v>
      </c>
      <c r="B26" s="42"/>
      <c r="C26" s="42"/>
      <c r="D26" s="42"/>
      <c r="E26" s="43" t="str">
        <f>IF(COUNT(B26:D26)=0,"SIN DATO",SUM(B26:D26))</f>
        <v>SIN DATO</v>
      </c>
      <c r="F26" s="26"/>
    </row>
    <row r="27" spans="1:9" x14ac:dyDescent="0.25">
      <c r="A27" s="28" t="s">
        <v>129</v>
      </c>
      <c r="B27" s="42"/>
      <c r="C27" s="42"/>
      <c r="D27" s="42"/>
      <c r="E27" s="43" t="str">
        <f>IF(COUNT(B27:D27)=0,"SIN DATO",SUM(B27:D27))</f>
        <v>SIN DATO</v>
      </c>
      <c r="F27" s="26"/>
    </row>
    <row r="28" spans="1:9" x14ac:dyDescent="0.25">
      <c r="A28" s="28" t="s">
        <v>19</v>
      </c>
      <c r="B28" s="42"/>
      <c r="C28" s="42"/>
      <c r="D28" s="42"/>
      <c r="E28" s="43" t="str">
        <f>IF(COUNT(B28:D28)=0,"SIN DATO",SUM(B28:D28))</f>
        <v>SIN DATO</v>
      </c>
      <c r="F28" s="26"/>
    </row>
    <row r="29" spans="1:9" x14ac:dyDescent="0.25">
      <c r="A29" s="28" t="s">
        <v>21</v>
      </c>
      <c r="B29" s="42"/>
      <c r="C29" s="42"/>
      <c r="D29" s="42"/>
      <c r="E29" s="43" t="str">
        <f>IF(COUNT(B29:D29)=0,"SIN DATO",SUM(B29:D29))</f>
        <v>SIN DATO</v>
      </c>
      <c r="F29" s="26"/>
    </row>
    <row r="31" spans="1:9" x14ac:dyDescent="0.25">
      <c r="A31" s="3" t="s">
        <v>144</v>
      </c>
    </row>
    <row r="32" spans="1:9" x14ac:dyDescent="0.25">
      <c r="A32" s="57" t="s">
        <v>145</v>
      </c>
      <c r="B32" s="52"/>
      <c r="C32" s="52"/>
      <c r="D32" s="52"/>
      <c r="E32" s="52"/>
      <c r="F32" s="52"/>
      <c r="G32" s="52"/>
      <c r="H32" s="52"/>
      <c r="I32" s="44"/>
    </row>
    <row r="33" spans="1:11" x14ac:dyDescent="0.25">
      <c r="A33" s="57" t="s">
        <v>146</v>
      </c>
      <c r="B33" s="52"/>
      <c r="C33" s="52"/>
      <c r="D33" s="52"/>
      <c r="E33" s="52"/>
      <c r="F33" s="52"/>
      <c r="G33" s="52"/>
      <c r="H33" s="52"/>
      <c r="I33" s="44"/>
    </row>
    <row r="34" spans="1:11" x14ac:dyDescent="0.25">
      <c r="A34" s="57" t="s">
        <v>147</v>
      </c>
      <c r="B34" s="52"/>
      <c r="C34" s="52"/>
      <c r="D34" s="52"/>
      <c r="E34" s="52"/>
      <c r="F34" s="52"/>
      <c r="G34" s="52"/>
      <c r="H34" s="52"/>
      <c r="I34" s="44"/>
    </row>
    <row r="35" spans="1:11" x14ac:dyDescent="0.25">
      <c r="A35" s="57" t="s">
        <v>148</v>
      </c>
      <c r="B35" s="52"/>
      <c r="C35" s="52"/>
      <c r="D35" s="52"/>
      <c r="E35" s="52"/>
      <c r="F35" s="52"/>
      <c r="G35" s="52"/>
      <c r="H35" s="52"/>
      <c r="I35" s="44"/>
    </row>
    <row r="36" spans="1:11" ht="27.95" customHeight="1" x14ac:dyDescent="0.25">
      <c r="A36" s="25" t="s">
        <v>149</v>
      </c>
      <c r="B36" s="55" t="str">
        <f>IF(COUNTA($I$32,$I$33,$I$34,$I$35)&lt;4,"Contestá las cuatro preguntas antes de comparar piezas.",IF(OR($I$32="Sí",$I$33="Sí",$I$34="No",$I$35="No"),"Comparación entre piezas NO VÁLIDA en este periodo: extendé o repetí la prueba con condiciones parejas.","Condiciones parejas declaradas. Con pocas consultas igual no se declara ganador: seguí observando."))</f>
        <v>Contestá las cuatro preguntas antes de comparar piezas.</v>
      </c>
      <c r="C36" s="56"/>
      <c r="D36" s="56"/>
      <c r="E36" s="56"/>
      <c r="F36" s="56"/>
      <c r="G36" s="56"/>
      <c r="H36" s="56"/>
      <c r="I36" s="56"/>
      <c r="J36" s="56"/>
      <c r="K36" s="56"/>
    </row>
    <row r="38" spans="1:11" x14ac:dyDescent="0.25">
      <c r="A38" s="3" t="s">
        <v>150</v>
      </c>
    </row>
    <row r="39" spans="1:11" x14ac:dyDescent="0.25">
      <c r="A39" s="2" t="s">
        <v>151</v>
      </c>
    </row>
    <row r="40" spans="1:11" x14ac:dyDescent="0.25">
      <c r="A40" s="2" t="s">
        <v>152</v>
      </c>
    </row>
    <row r="41" spans="1:11" ht="44.1" customHeight="1" x14ac:dyDescent="0.25">
      <c r="A41" s="9" t="s">
        <v>139</v>
      </c>
      <c r="B41" s="27" t="s">
        <v>153</v>
      </c>
      <c r="C41" s="9" t="s">
        <v>154</v>
      </c>
      <c r="D41" s="9" t="s">
        <v>118</v>
      </c>
      <c r="E41" s="9" t="s">
        <v>119</v>
      </c>
      <c r="F41" s="9" t="s">
        <v>120</v>
      </c>
      <c r="G41" s="9" t="s">
        <v>121</v>
      </c>
      <c r="H41" s="9" t="s">
        <v>125</v>
      </c>
      <c r="I41" s="9" t="s">
        <v>126</v>
      </c>
      <c r="J41" s="27" t="s">
        <v>155</v>
      </c>
      <c r="K41" s="9" t="s">
        <v>55</v>
      </c>
    </row>
    <row r="42" spans="1:11" x14ac:dyDescent="0.25">
      <c r="A42" s="28" t="s">
        <v>128</v>
      </c>
      <c r="B42" s="26"/>
      <c r="C42" s="45" t="str">
        <f>IF($B42="","Falta fecha",$B42+3)</f>
        <v>Falta fecha</v>
      </c>
      <c r="D42" s="29" t="str">
        <f>IF($B42="","",COUNTIFS(Consultas!$D$2:$D$1000,$A42,Consultas!$G$2:$G$1000,"&lt;&gt;Sí",Consultas!$B$2:$B$1000,"&gt;="&amp;$B42,Consultas!$B$2:$B$1000,"&lt;="&amp;($B42+3)))</f>
        <v/>
      </c>
      <c r="E42" s="29" t="str">
        <f>IF($B42="","",COUNTIFS(Consultas!$D$2:$D$1000,$A42,Consultas!$G$2:$G$1000,"&lt;&gt;Sí",Consultas!$B$2:$B$1000,"&gt;="&amp;$B42,Consultas!$B$2:$B$1000,"&lt;="&amp;($B42+3),Consultas!$H$2:$H$1000,"Sí"))</f>
        <v/>
      </c>
      <c r="F42" s="29" t="str">
        <f>IF($B42="","",COUNTIFS(Consultas!$D$2:$D$1000,$A42,Consultas!$G$2:$G$1000,"&lt;&gt;Sí",Consultas!$B$2:$B$1000,"&gt;="&amp;$B42,Consultas!$B$2:$B$1000,"&lt;="&amp;($B42+3),Consultas!$I$2:$I$1000,"Sí"))</f>
        <v/>
      </c>
      <c r="G42" s="29" t="str">
        <f>IF($B42="","",COUNTIFS(Consultas!$D$2:$D$1000,$A42,Consultas!$G$2:$G$1000,"&lt;&gt;Sí",Consultas!$B$2:$B$1000,"&gt;="&amp;$B42,Consultas!$B$2:$B$1000,"&lt;="&amp;($B42+3),Consultas!$J$2:$J$1000,"Sí"))</f>
        <v/>
      </c>
      <c r="H42" s="32" t="str">
        <f>IF(N(D42)=0,"NO CALCULABLE",E42/D42)</f>
        <v>NO CALCULABLE</v>
      </c>
      <c r="I42" s="32" t="str">
        <f>IF(N(E42)=0,"NO CALCULABLE",G42/E42)</f>
        <v>NO CALCULABLE</v>
      </c>
      <c r="J42" s="42"/>
      <c r="K42" s="34" t="str">
        <f>IF(OR($B42="",N(J42)=0),"NO CALCULABLE",E42/J42)</f>
        <v>NO CALCULABLE</v>
      </c>
    </row>
    <row r="43" spans="1:11" x14ac:dyDescent="0.25">
      <c r="A43" s="28" t="s">
        <v>129</v>
      </c>
      <c r="B43" s="26"/>
      <c r="C43" s="45" t="str">
        <f>IF($B43="","Falta fecha",$B43+3)</f>
        <v>Falta fecha</v>
      </c>
      <c r="D43" s="29" t="str">
        <f>IF($B43="","",COUNTIFS(Consultas!$D$2:$D$1000,$A43,Consultas!$G$2:$G$1000,"&lt;&gt;Sí",Consultas!$B$2:$B$1000,"&gt;="&amp;$B43,Consultas!$B$2:$B$1000,"&lt;="&amp;($B43+3)))</f>
        <v/>
      </c>
      <c r="E43" s="29" t="str">
        <f>IF($B43="","",COUNTIFS(Consultas!$D$2:$D$1000,$A43,Consultas!$G$2:$G$1000,"&lt;&gt;Sí",Consultas!$B$2:$B$1000,"&gt;="&amp;$B43,Consultas!$B$2:$B$1000,"&lt;="&amp;($B43+3),Consultas!$H$2:$H$1000,"Sí"))</f>
        <v/>
      </c>
      <c r="F43" s="29" t="str">
        <f>IF($B43="","",COUNTIFS(Consultas!$D$2:$D$1000,$A43,Consultas!$G$2:$G$1000,"&lt;&gt;Sí",Consultas!$B$2:$B$1000,"&gt;="&amp;$B43,Consultas!$B$2:$B$1000,"&lt;="&amp;($B43+3),Consultas!$I$2:$I$1000,"Sí"))</f>
        <v/>
      </c>
      <c r="G43" s="29" t="str">
        <f>IF($B43="","",COUNTIFS(Consultas!$D$2:$D$1000,$A43,Consultas!$G$2:$G$1000,"&lt;&gt;Sí",Consultas!$B$2:$B$1000,"&gt;="&amp;$B43,Consultas!$B$2:$B$1000,"&lt;="&amp;($B43+3),Consultas!$J$2:$J$1000,"Sí"))</f>
        <v/>
      </c>
      <c r="H43" s="32" t="str">
        <f>IF(N(D43)=0,"NO CALCULABLE",E43/D43)</f>
        <v>NO CALCULABLE</v>
      </c>
      <c r="I43" s="32" t="str">
        <f>IF(N(E43)=0,"NO CALCULABLE",G43/E43)</f>
        <v>NO CALCULABLE</v>
      </c>
      <c r="J43" s="42"/>
      <c r="K43" s="34" t="str">
        <f>IF(OR($B43="",N(J43)=0),"NO CALCULABLE",E43/J43)</f>
        <v>NO CALCULABLE</v>
      </c>
    </row>
    <row r="44" spans="1:11" x14ac:dyDescent="0.25">
      <c r="A44" s="36" t="s">
        <v>156</v>
      </c>
      <c r="B44" s="46"/>
      <c r="C44" s="46"/>
      <c r="D44" s="47" t="str">
        <f>IF(OR($B$42="",$B$43=""),"",D43-D42)</f>
        <v/>
      </c>
      <c r="E44" s="47" t="str">
        <f>IF(OR($B$42="",$B$43=""),"",E43-E42)</f>
        <v/>
      </c>
      <c r="F44" s="47" t="str">
        <f>IF(OR($B$42="",$B$43=""),"",F43-F42)</f>
        <v/>
      </c>
      <c r="G44" s="47" t="str">
        <f>IF(OR($B$42="",$B$43=""),"",G43-G42)</f>
        <v/>
      </c>
      <c r="H44" s="46"/>
      <c r="I44" s="46"/>
      <c r="J44" s="46"/>
      <c r="K44" s="46"/>
    </row>
    <row r="45" spans="1:11" ht="48" customHeight="1" x14ac:dyDescent="0.25">
      <c r="A45" s="25" t="s">
        <v>149</v>
      </c>
      <c r="B45" s="55" t="str">
        <f>IF(OR($B$42="",$B$43=""),"Escribí las dos fechas de publicación para comparar.",IF(COUNTA($I$32,$I$33,$I$34,$I$35)&lt;4,"Contestá las cuatro preguntas de condiciones antes de comparar.",IF(OR($I$32="Sí",$I$33="Sí",$I$34="No",$I$35="No"),"Comparación NO VÁLIDA: las condiciones no fueron parejas. Repetí la prueba.",IF($E$44=0,"GAME1 y GAME2 tuvieron las mismas consultas cualificadas.","GAME2 tuvo "&amp;ABS($E$44)&amp;" consulta(s) cualificada(s) "&amp;IF($E$44&gt;0,"más","menos")&amp;" que GAME1.")&amp;IF(OR(N($J$42)=0,N($J$43)=0)," Falta el alcance de al menos una pieza: la lectura es solo descriptiva y se comparan volúmenes absolutos junto al alcance conocido."," Las dos piezas tienen alcance: mirá también Cualificadas / alcance.")&amp;" Es una señal exploratoria, no un ganador: no se sabe en qué dirección influyen el día, el orden ni el alcance.")))</f>
        <v>Escribí las dos fechas de publicación para comparar.</v>
      </c>
      <c r="C45" s="56"/>
      <c r="D45" s="56"/>
      <c r="E45" s="56"/>
      <c r="F45" s="56"/>
      <c r="G45" s="56"/>
      <c r="H45" s="56"/>
      <c r="I45" s="56"/>
      <c r="J45" s="56"/>
      <c r="K45" s="56"/>
    </row>
    <row r="47" spans="1:11" x14ac:dyDescent="0.25">
      <c r="A47" s="3" t="s">
        <v>157</v>
      </c>
    </row>
    <row r="48" spans="1:11" ht="25.5" x14ac:dyDescent="0.25">
      <c r="A48" s="9" t="s">
        <v>68</v>
      </c>
      <c r="B48" s="9" t="s">
        <v>158</v>
      </c>
      <c r="C48" s="9" t="s">
        <v>159</v>
      </c>
      <c r="D48" s="9" t="s">
        <v>160</v>
      </c>
      <c r="E48" s="9" t="s">
        <v>161</v>
      </c>
    </row>
    <row r="49" spans="1:9" x14ac:dyDescent="0.25">
      <c r="A49" s="28" t="s">
        <v>128</v>
      </c>
      <c r="B49" s="29">
        <f>COUNTIFS(Consultas!$D$2:$D$1000,$A49,Consultas!$G$2:$G$1000,"&lt;&gt;Sí",Consultas!$B$2:$B$1000,"&gt;="&amp;IF($B$4="",1,$B$4),Consultas!$B$2:$B$1000,"&lt;="&amp;IF($B$5="",2958465,$B$5),Consultas!$F$2:$F$1000,"GAM")</f>
        <v>0</v>
      </c>
      <c r="C49" s="29">
        <f>COUNTIFS(Consultas!$D$2:$D$1000,$A49,Consultas!$G$2:$G$1000,"&lt;&gt;Sí",Consultas!$B$2:$B$1000,"&gt;="&amp;IF($B$4="",1,$B$4),Consultas!$B$2:$B$1000,"&lt;="&amp;IF($B$5="",2958465,$B$5),Consultas!$F$2:$F$1000,"Fuera de GAM")</f>
        <v>0</v>
      </c>
      <c r="D49" s="29">
        <f>COUNTIFS(Consultas!$D$2:$D$1000,$A49,Consultas!$G$2:$G$1000,"&lt;&gt;Sí",Consultas!$B$2:$B$1000,"&gt;="&amp;IF($B$4="",1,$B$4),Consultas!$B$2:$B$1000,"&lt;="&amp;IF($B$5="",2958465,$B$5),Consultas!$F$2:$F$1000,"No dijo")</f>
        <v>0</v>
      </c>
      <c r="E49" s="29">
        <f>$B$10-SUM(B49:D49)</f>
        <v>0</v>
      </c>
    </row>
    <row r="50" spans="1:9" x14ac:dyDescent="0.25">
      <c r="A50" s="28" t="s">
        <v>129</v>
      </c>
      <c r="B50" s="29">
        <f>COUNTIFS(Consultas!$D$2:$D$1000,$A50,Consultas!$G$2:$G$1000,"&lt;&gt;Sí",Consultas!$B$2:$B$1000,"&gt;="&amp;IF($B$4="",1,$B$4),Consultas!$B$2:$B$1000,"&lt;="&amp;IF($B$5="",2958465,$B$5),Consultas!$F$2:$F$1000,"GAM")</f>
        <v>0</v>
      </c>
      <c r="C50" s="29">
        <f>COUNTIFS(Consultas!$D$2:$D$1000,$A50,Consultas!$G$2:$G$1000,"&lt;&gt;Sí",Consultas!$B$2:$B$1000,"&gt;="&amp;IF($B$4="",1,$B$4),Consultas!$B$2:$B$1000,"&lt;="&amp;IF($B$5="",2958465,$B$5),Consultas!$F$2:$F$1000,"Fuera de GAM")</f>
        <v>0</v>
      </c>
      <c r="D50" s="29">
        <f>COUNTIFS(Consultas!$D$2:$D$1000,$A50,Consultas!$G$2:$G$1000,"&lt;&gt;Sí",Consultas!$B$2:$B$1000,"&gt;="&amp;IF($B$4="",1,$B$4),Consultas!$B$2:$B$1000,"&lt;="&amp;IF($B$5="",2958465,$B$5),Consultas!$F$2:$F$1000,"No dijo")</f>
        <v>0</v>
      </c>
      <c r="E50" s="29">
        <f>$B$11-SUM(B50:D50)</f>
        <v>0</v>
      </c>
    </row>
    <row r="51" spans="1:9" x14ac:dyDescent="0.25">
      <c r="A51" s="28" t="s">
        <v>19</v>
      </c>
      <c r="B51" s="29">
        <f>COUNTIFS(Consultas!$D$2:$D$1000,$A51,Consultas!$G$2:$G$1000,"&lt;&gt;Sí",Consultas!$B$2:$B$1000,"&gt;="&amp;IF($B$4="",1,$B$4),Consultas!$B$2:$B$1000,"&lt;="&amp;IF($B$5="",2958465,$B$5),Consultas!$F$2:$F$1000,"GAM")</f>
        <v>0</v>
      </c>
      <c r="C51" s="29">
        <f>COUNTIFS(Consultas!$D$2:$D$1000,$A51,Consultas!$G$2:$G$1000,"&lt;&gt;Sí",Consultas!$B$2:$B$1000,"&gt;="&amp;IF($B$4="",1,$B$4),Consultas!$B$2:$B$1000,"&lt;="&amp;IF($B$5="",2958465,$B$5),Consultas!$F$2:$F$1000,"Fuera de GAM")</f>
        <v>0</v>
      </c>
      <c r="D51" s="29">
        <f>COUNTIFS(Consultas!$D$2:$D$1000,$A51,Consultas!$G$2:$G$1000,"&lt;&gt;Sí",Consultas!$B$2:$B$1000,"&gt;="&amp;IF($B$4="",1,$B$4),Consultas!$B$2:$B$1000,"&lt;="&amp;IF($B$5="",2958465,$B$5),Consultas!$F$2:$F$1000,"No dijo")</f>
        <v>0</v>
      </c>
      <c r="E51" s="29">
        <f>$B$12-SUM(B51:D51)</f>
        <v>0</v>
      </c>
    </row>
    <row r="52" spans="1:9" x14ac:dyDescent="0.25">
      <c r="A52" s="28" t="s">
        <v>21</v>
      </c>
      <c r="B52" s="29">
        <f>COUNTIFS(Consultas!$D$2:$D$1000,$A52,Consultas!$G$2:$G$1000,"&lt;&gt;Sí",Consultas!$B$2:$B$1000,"&gt;="&amp;IF($B$4="",1,$B$4),Consultas!$B$2:$B$1000,"&lt;="&amp;IF($B$5="",2958465,$B$5),Consultas!$F$2:$F$1000,"GAM")</f>
        <v>0</v>
      </c>
      <c r="C52" s="29">
        <f>COUNTIFS(Consultas!$D$2:$D$1000,$A52,Consultas!$G$2:$G$1000,"&lt;&gt;Sí",Consultas!$B$2:$B$1000,"&gt;="&amp;IF($B$4="",1,$B$4),Consultas!$B$2:$B$1000,"&lt;="&amp;IF($B$5="",2958465,$B$5),Consultas!$F$2:$F$1000,"Fuera de GAM")</f>
        <v>0</v>
      </c>
      <c r="D52" s="29">
        <f>COUNTIFS(Consultas!$D$2:$D$1000,$A52,Consultas!$G$2:$G$1000,"&lt;&gt;Sí",Consultas!$B$2:$B$1000,"&gt;="&amp;IF($B$4="",1,$B$4),Consultas!$B$2:$B$1000,"&lt;="&amp;IF($B$5="",2958465,$B$5),Consultas!$F$2:$F$1000,"No dijo")</f>
        <v>0</v>
      </c>
      <c r="E52" s="29">
        <f>$B$13-SUM(B52:D52)</f>
        <v>0</v>
      </c>
    </row>
    <row r="53" spans="1:9" x14ac:dyDescent="0.25">
      <c r="A53" s="28" t="s">
        <v>23</v>
      </c>
      <c r="B53" s="29">
        <f>COUNTIFS(Consultas!$D$2:$D$1000,$A53,Consultas!$G$2:$G$1000,"&lt;&gt;Sí",Consultas!$B$2:$B$1000,"&gt;="&amp;IF($B$4="",1,$B$4),Consultas!$B$2:$B$1000,"&lt;="&amp;IF($B$5="",2958465,$B$5),Consultas!$F$2:$F$1000,"GAM")</f>
        <v>0</v>
      </c>
      <c r="C53" s="29">
        <f>COUNTIFS(Consultas!$D$2:$D$1000,$A53,Consultas!$G$2:$G$1000,"&lt;&gt;Sí",Consultas!$B$2:$B$1000,"&gt;="&amp;IF($B$4="",1,$B$4),Consultas!$B$2:$B$1000,"&lt;="&amp;IF($B$5="",2958465,$B$5),Consultas!$F$2:$F$1000,"Fuera de GAM")</f>
        <v>0</v>
      </c>
      <c r="D53" s="29">
        <f>COUNTIFS(Consultas!$D$2:$D$1000,$A53,Consultas!$G$2:$G$1000,"&lt;&gt;Sí",Consultas!$B$2:$B$1000,"&gt;="&amp;IF($B$4="",1,$B$4),Consultas!$B$2:$B$1000,"&lt;="&amp;IF($B$5="",2958465,$B$5),Consultas!$F$2:$F$1000,"No dijo")</f>
        <v>0</v>
      </c>
      <c r="E53" s="29">
        <f>$B$14-SUM(B53:D53)</f>
        <v>0</v>
      </c>
    </row>
    <row r="54" spans="1:9" x14ac:dyDescent="0.25">
      <c r="A54" s="28" t="s">
        <v>25</v>
      </c>
      <c r="B54" s="29">
        <f>COUNTIFS(Consultas!$D$2:$D$1000,$A54,Consultas!$G$2:$G$1000,"&lt;&gt;Sí",Consultas!$B$2:$B$1000,"&gt;="&amp;IF($B$4="",1,$B$4),Consultas!$B$2:$B$1000,"&lt;="&amp;IF($B$5="",2958465,$B$5),Consultas!$F$2:$F$1000,"GAM")</f>
        <v>0</v>
      </c>
      <c r="C54" s="29">
        <f>COUNTIFS(Consultas!$D$2:$D$1000,$A54,Consultas!$G$2:$G$1000,"&lt;&gt;Sí",Consultas!$B$2:$B$1000,"&gt;="&amp;IF($B$4="",1,$B$4),Consultas!$B$2:$B$1000,"&lt;="&amp;IF($B$5="",2958465,$B$5),Consultas!$F$2:$F$1000,"Fuera de GAM")</f>
        <v>0</v>
      </c>
      <c r="D54" s="29">
        <f>COUNTIFS(Consultas!$D$2:$D$1000,$A54,Consultas!$G$2:$G$1000,"&lt;&gt;Sí",Consultas!$B$2:$B$1000,"&gt;="&amp;IF($B$4="",1,$B$4),Consultas!$B$2:$B$1000,"&lt;="&amp;IF($B$5="",2958465,$B$5),Consultas!$F$2:$F$1000,"No dijo")</f>
        <v>0</v>
      </c>
      <c r="E54" s="29">
        <f>$B$15-SUM(B54:D54)</f>
        <v>0</v>
      </c>
    </row>
    <row r="55" spans="1:9" x14ac:dyDescent="0.25">
      <c r="A55" s="36" t="s">
        <v>131</v>
      </c>
      <c r="B55" s="37">
        <f>SUM(B49:B54)</f>
        <v>0</v>
      </c>
      <c r="C55" s="37">
        <f>SUM(C49:C54)</f>
        <v>0</v>
      </c>
      <c r="D55" s="37">
        <f>SUM(D49:D54)</f>
        <v>0</v>
      </c>
      <c r="E55" s="37">
        <f>SUM(E49:E54)</f>
        <v>0</v>
      </c>
    </row>
    <row r="57" spans="1:9" x14ac:dyDescent="0.25">
      <c r="A57" s="3" t="s">
        <v>162</v>
      </c>
    </row>
    <row r="58" spans="1:9" ht="30" customHeight="1" x14ac:dyDescent="0.25">
      <c r="A58" s="9" t="s">
        <v>68</v>
      </c>
      <c r="B58" s="9" t="s">
        <v>163</v>
      </c>
      <c r="C58" s="9" t="s">
        <v>164</v>
      </c>
      <c r="D58" s="9" t="s">
        <v>165</v>
      </c>
      <c r="E58" s="9" t="s">
        <v>166</v>
      </c>
      <c r="F58" s="9" t="s">
        <v>167</v>
      </c>
      <c r="G58" s="9" t="s">
        <v>168</v>
      </c>
      <c r="H58" s="9" t="s">
        <v>169</v>
      </c>
      <c r="I58" s="9" t="s">
        <v>170</v>
      </c>
    </row>
    <row r="59" spans="1:9" x14ac:dyDescent="0.25">
      <c r="A59" s="28" t="s">
        <v>128</v>
      </c>
      <c r="B59" s="29">
        <f>COUNTIFS(Consultas!$D$2:$D$1000,$A59,Consultas!$G$2:$G$1000,"&lt;&gt;Sí",Consultas!$B$2:$B$1000,"&gt;="&amp;IF($B$4="",1,$B$4),Consultas!$B$2:$B$1000,"&lt;="&amp;IF($B$5="",2958465,$B$5),Consultas!$N$2:$N$1000,"Precio")</f>
        <v>0</v>
      </c>
      <c r="C59" s="29">
        <f>COUNTIFS(Consultas!$D$2:$D$1000,$A59,Consultas!$G$2:$G$1000,"&lt;&gt;Sí",Consultas!$B$2:$B$1000,"&gt;="&amp;IF($B$4="",1,$B$4),Consultas!$B$2:$B$1000,"&lt;="&amp;IF($B$5="",2958465,$B$5),Consultas!$N$2:$N$1000,"Compatibilidad")</f>
        <v>0</v>
      </c>
      <c r="D59" s="29">
        <f>COUNTIFS(Consultas!$D$2:$D$1000,$A59,Consultas!$G$2:$G$1000,"&lt;&gt;Sí",Consultas!$B$2:$B$1000,"&gt;="&amp;IF($B$4="",1,$B$4),Consultas!$B$2:$B$1000,"&lt;="&amp;IF($B$5="",2958465,$B$5),Consultas!$N$2:$N$1000,"Envío")</f>
        <v>0</v>
      </c>
      <c r="E59" s="29">
        <f>COUNTIFS(Consultas!$D$2:$D$1000,$A59,Consultas!$G$2:$G$1000,"&lt;&gt;Sí",Consultas!$B$2:$B$1000,"&gt;="&amp;IF($B$4="",1,$B$4),Consultas!$B$2:$B$1000,"&lt;="&amp;IF($B$5="",2958465,$B$5),Consultas!$N$2:$N$1000,"Garantía")</f>
        <v>0</v>
      </c>
      <c r="F59" s="29">
        <f>COUNTIFS(Consultas!$D$2:$D$1000,$A59,Consultas!$G$2:$G$1000,"&lt;&gt;Sí",Consultas!$B$2:$B$1000,"&gt;="&amp;IF($B$4="",1,$B$4),Consultas!$B$2:$B$1000,"&lt;="&amp;IF($B$5="",2958465,$B$5),Consultas!$N$2:$N$1000,"Confianza")</f>
        <v>0</v>
      </c>
      <c r="G59" s="29">
        <f>COUNTIFS(Consultas!$D$2:$D$1000,$A59,Consultas!$G$2:$G$1000,"&lt;&gt;Sí",Consultas!$B$2:$B$1000,"&gt;="&amp;IF($B$4="",1,$B$4),Consultas!$B$2:$B$1000,"&lt;="&amp;IF($B$5="",2958465,$B$5),Consultas!$N$2:$N$1000,"Stock")</f>
        <v>0</v>
      </c>
      <c r="H59" s="29">
        <f>COUNTIFS(Consultas!$D$2:$D$1000,$A59,Consultas!$G$2:$G$1000,"&lt;&gt;Sí",Consultas!$B$2:$B$1000,"&gt;="&amp;IF($B$4="",1,$B$4),Consultas!$B$2:$B$1000,"&lt;="&amp;IF($B$5="",2958465,$B$5),Consultas!$N$2:$N$1000,"Otra")</f>
        <v>0</v>
      </c>
      <c r="I59" s="29">
        <f>$B$10-SUM(B59:H59)</f>
        <v>0</v>
      </c>
    </row>
    <row r="60" spans="1:9" x14ac:dyDescent="0.25">
      <c r="A60" s="28" t="s">
        <v>129</v>
      </c>
      <c r="B60" s="29">
        <f>COUNTIFS(Consultas!$D$2:$D$1000,$A60,Consultas!$G$2:$G$1000,"&lt;&gt;Sí",Consultas!$B$2:$B$1000,"&gt;="&amp;IF($B$4="",1,$B$4),Consultas!$B$2:$B$1000,"&lt;="&amp;IF($B$5="",2958465,$B$5),Consultas!$N$2:$N$1000,"Precio")</f>
        <v>0</v>
      </c>
      <c r="C60" s="29">
        <f>COUNTIFS(Consultas!$D$2:$D$1000,$A60,Consultas!$G$2:$G$1000,"&lt;&gt;Sí",Consultas!$B$2:$B$1000,"&gt;="&amp;IF($B$4="",1,$B$4),Consultas!$B$2:$B$1000,"&lt;="&amp;IF($B$5="",2958465,$B$5),Consultas!$N$2:$N$1000,"Compatibilidad")</f>
        <v>0</v>
      </c>
      <c r="D60" s="29">
        <f>COUNTIFS(Consultas!$D$2:$D$1000,$A60,Consultas!$G$2:$G$1000,"&lt;&gt;Sí",Consultas!$B$2:$B$1000,"&gt;="&amp;IF($B$4="",1,$B$4),Consultas!$B$2:$B$1000,"&lt;="&amp;IF($B$5="",2958465,$B$5),Consultas!$N$2:$N$1000,"Envío")</f>
        <v>0</v>
      </c>
      <c r="E60" s="29">
        <f>COUNTIFS(Consultas!$D$2:$D$1000,$A60,Consultas!$G$2:$G$1000,"&lt;&gt;Sí",Consultas!$B$2:$B$1000,"&gt;="&amp;IF($B$4="",1,$B$4),Consultas!$B$2:$B$1000,"&lt;="&amp;IF($B$5="",2958465,$B$5),Consultas!$N$2:$N$1000,"Garantía")</f>
        <v>0</v>
      </c>
      <c r="F60" s="29">
        <f>COUNTIFS(Consultas!$D$2:$D$1000,$A60,Consultas!$G$2:$G$1000,"&lt;&gt;Sí",Consultas!$B$2:$B$1000,"&gt;="&amp;IF($B$4="",1,$B$4),Consultas!$B$2:$B$1000,"&lt;="&amp;IF($B$5="",2958465,$B$5),Consultas!$N$2:$N$1000,"Confianza")</f>
        <v>0</v>
      </c>
      <c r="G60" s="29">
        <f>COUNTIFS(Consultas!$D$2:$D$1000,$A60,Consultas!$G$2:$G$1000,"&lt;&gt;Sí",Consultas!$B$2:$B$1000,"&gt;="&amp;IF($B$4="",1,$B$4),Consultas!$B$2:$B$1000,"&lt;="&amp;IF($B$5="",2958465,$B$5),Consultas!$N$2:$N$1000,"Stock")</f>
        <v>0</v>
      </c>
      <c r="H60" s="29">
        <f>COUNTIFS(Consultas!$D$2:$D$1000,$A60,Consultas!$G$2:$G$1000,"&lt;&gt;Sí",Consultas!$B$2:$B$1000,"&gt;="&amp;IF($B$4="",1,$B$4),Consultas!$B$2:$B$1000,"&lt;="&amp;IF($B$5="",2958465,$B$5),Consultas!$N$2:$N$1000,"Otra")</f>
        <v>0</v>
      </c>
      <c r="I60" s="29">
        <f>$B$11-SUM(B60:H60)</f>
        <v>0</v>
      </c>
    </row>
    <row r="61" spans="1:9" x14ac:dyDescent="0.25">
      <c r="A61" s="28" t="s">
        <v>19</v>
      </c>
      <c r="B61" s="29">
        <f>COUNTIFS(Consultas!$D$2:$D$1000,$A61,Consultas!$G$2:$G$1000,"&lt;&gt;Sí",Consultas!$B$2:$B$1000,"&gt;="&amp;IF($B$4="",1,$B$4),Consultas!$B$2:$B$1000,"&lt;="&amp;IF($B$5="",2958465,$B$5),Consultas!$N$2:$N$1000,"Precio")</f>
        <v>0</v>
      </c>
      <c r="C61" s="29">
        <f>COUNTIFS(Consultas!$D$2:$D$1000,$A61,Consultas!$G$2:$G$1000,"&lt;&gt;Sí",Consultas!$B$2:$B$1000,"&gt;="&amp;IF($B$4="",1,$B$4),Consultas!$B$2:$B$1000,"&lt;="&amp;IF($B$5="",2958465,$B$5),Consultas!$N$2:$N$1000,"Compatibilidad")</f>
        <v>0</v>
      </c>
      <c r="D61" s="29">
        <f>COUNTIFS(Consultas!$D$2:$D$1000,$A61,Consultas!$G$2:$G$1000,"&lt;&gt;Sí",Consultas!$B$2:$B$1000,"&gt;="&amp;IF($B$4="",1,$B$4),Consultas!$B$2:$B$1000,"&lt;="&amp;IF($B$5="",2958465,$B$5),Consultas!$N$2:$N$1000,"Envío")</f>
        <v>0</v>
      </c>
      <c r="E61" s="29">
        <f>COUNTIFS(Consultas!$D$2:$D$1000,$A61,Consultas!$G$2:$G$1000,"&lt;&gt;Sí",Consultas!$B$2:$B$1000,"&gt;="&amp;IF($B$4="",1,$B$4),Consultas!$B$2:$B$1000,"&lt;="&amp;IF($B$5="",2958465,$B$5),Consultas!$N$2:$N$1000,"Garantía")</f>
        <v>0</v>
      </c>
      <c r="F61" s="29">
        <f>COUNTIFS(Consultas!$D$2:$D$1000,$A61,Consultas!$G$2:$G$1000,"&lt;&gt;Sí",Consultas!$B$2:$B$1000,"&gt;="&amp;IF($B$4="",1,$B$4),Consultas!$B$2:$B$1000,"&lt;="&amp;IF($B$5="",2958465,$B$5),Consultas!$N$2:$N$1000,"Confianza")</f>
        <v>0</v>
      </c>
      <c r="G61" s="29">
        <f>COUNTIFS(Consultas!$D$2:$D$1000,$A61,Consultas!$G$2:$G$1000,"&lt;&gt;Sí",Consultas!$B$2:$B$1000,"&gt;="&amp;IF($B$4="",1,$B$4),Consultas!$B$2:$B$1000,"&lt;="&amp;IF($B$5="",2958465,$B$5),Consultas!$N$2:$N$1000,"Stock")</f>
        <v>0</v>
      </c>
      <c r="H61" s="29">
        <f>COUNTIFS(Consultas!$D$2:$D$1000,$A61,Consultas!$G$2:$G$1000,"&lt;&gt;Sí",Consultas!$B$2:$B$1000,"&gt;="&amp;IF($B$4="",1,$B$4),Consultas!$B$2:$B$1000,"&lt;="&amp;IF($B$5="",2958465,$B$5),Consultas!$N$2:$N$1000,"Otra")</f>
        <v>0</v>
      </c>
      <c r="I61" s="29">
        <f>$B$12-SUM(B61:H61)</f>
        <v>0</v>
      </c>
    </row>
    <row r="62" spans="1:9" x14ac:dyDescent="0.25">
      <c r="A62" s="28" t="s">
        <v>21</v>
      </c>
      <c r="B62" s="29">
        <f>COUNTIFS(Consultas!$D$2:$D$1000,$A62,Consultas!$G$2:$G$1000,"&lt;&gt;Sí",Consultas!$B$2:$B$1000,"&gt;="&amp;IF($B$4="",1,$B$4),Consultas!$B$2:$B$1000,"&lt;="&amp;IF($B$5="",2958465,$B$5),Consultas!$N$2:$N$1000,"Precio")</f>
        <v>0</v>
      </c>
      <c r="C62" s="29">
        <f>COUNTIFS(Consultas!$D$2:$D$1000,$A62,Consultas!$G$2:$G$1000,"&lt;&gt;Sí",Consultas!$B$2:$B$1000,"&gt;="&amp;IF($B$4="",1,$B$4),Consultas!$B$2:$B$1000,"&lt;="&amp;IF($B$5="",2958465,$B$5),Consultas!$N$2:$N$1000,"Compatibilidad")</f>
        <v>0</v>
      </c>
      <c r="D62" s="29">
        <f>COUNTIFS(Consultas!$D$2:$D$1000,$A62,Consultas!$G$2:$G$1000,"&lt;&gt;Sí",Consultas!$B$2:$B$1000,"&gt;="&amp;IF($B$4="",1,$B$4),Consultas!$B$2:$B$1000,"&lt;="&amp;IF($B$5="",2958465,$B$5),Consultas!$N$2:$N$1000,"Envío")</f>
        <v>0</v>
      </c>
      <c r="E62" s="29">
        <f>COUNTIFS(Consultas!$D$2:$D$1000,$A62,Consultas!$G$2:$G$1000,"&lt;&gt;Sí",Consultas!$B$2:$B$1000,"&gt;="&amp;IF($B$4="",1,$B$4),Consultas!$B$2:$B$1000,"&lt;="&amp;IF($B$5="",2958465,$B$5),Consultas!$N$2:$N$1000,"Garantía")</f>
        <v>0</v>
      </c>
      <c r="F62" s="29">
        <f>COUNTIFS(Consultas!$D$2:$D$1000,$A62,Consultas!$G$2:$G$1000,"&lt;&gt;Sí",Consultas!$B$2:$B$1000,"&gt;="&amp;IF($B$4="",1,$B$4),Consultas!$B$2:$B$1000,"&lt;="&amp;IF($B$5="",2958465,$B$5),Consultas!$N$2:$N$1000,"Confianza")</f>
        <v>0</v>
      </c>
      <c r="G62" s="29">
        <f>COUNTIFS(Consultas!$D$2:$D$1000,$A62,Consultas!$G$2:$G$1000,"&lt;&gt;Sí",Consultas!$B$2:$B$1000,"&gt;="&amp;IF($B$4="",1,$B$4),Consultas!$B$2:$B$1000,"&lt;="&amp;IF($B$5="",2958465,$B$5),Consultas!$N$2:$N$1000,"Stock")</f>
        <v>0</v>
      </c>
      <c r="H62" s="29">
        <f>COUNTIFS(Consultas!$D$2:$D$1000,$A62,Consultas!$G$2:$G$1000,"&lt;&gt;Sí",Consultas!$B$2:$B$1000,"&gt;="&amp;IF($B$4="",1,$B$4),Consultas!$B$2:$B$1000,"&lt;="&amp;IF($B$5="",2958465,$B$5),Consultas!$N$2:$N$1000,"Otra")</f>
        <v>0</v>
      </c>
      <c r="I62" s="29">
        <f>$B$13-SUM(B62:H62)</f>
        <v>0</v>
      </c>
    </row>
    <row r="63" spans="1:9" x14ac:dyDescent="0.25">
      <c r="A63" s="28" t="s">
        <v>23</v>
      </c>
      <c r="B63" s="29">
        <f>COUNTIFS(Consultas!$D$2:$D$1000,$A63,Consultas!$G$2:$G$1000,"&lt;&gt;Sí",Consultas!$B$2:$B$1000,"&gt;="&amp;IF($B$4="",1,$B$4),Consultas!$B$2:$B$1000,"&lt;="&amp;IF($B$5="",2958465,$B$5),Consultas!$N$2:$N$1000,"Precio")</f>
        <v>0</v>
      </c>
      <c r="C63" s="29">
        <f>COUNTIFS(Consultas!$D$2:$D$1000,$A63,Consultas!$G$2:$G$1000,"&lt;&gt;Sí",Consultas!$B$2:$B$1000,"&gt;="&amp;IF($B$4="",1,$B$4),Consultas!$B$2:$B$1000,"&lt;="&amp;IF($B$5="",2958465,$B$5),Consultas!$N$2:$N$1000,"Compatibilidad")</f>
        <v>0</v>
      </c>
      <c r="D63" s="29">
        <f>COUNTIFS(Consultas!$D$2:$D$1000,$A63,Consultas!$G$2:$G$1000,"&lt;&gt;Sí",Consultas!$B$2:$B$1000,"&gt;="&amp;IF($B$4="",1,$B$4),Consultas!$B$2:$B$1000,"&lt;="&amp;IF($B$5="",2958465,$B$5),Consultas!$N$2:$N$1000,"Envío")</f>
        <v>0</v>
      </c>
      <c r="E63" s="29">
        <f>COUNTIFS(Consultas!$D$2:$D$1000,$A63,Consultas!$G$2:$G$1000,"&lt;&gt;Sí",Consultas!$B$2:$B$1000,"&gt;="&amp;IF($B$4="",1,$B$4),Consultas!$B$2:$B$1000,"&lt;="&amp;IF($B$5="",2958465,$B$5),Consultas!$N$2:$N$1000,"Garantía")</f>
        <v>0</v>
      </c>
      <c r="F63" s="29">
        <f>COUNTIFS(Consultas!$D$2:$D$1000,$A63,Consultas!$G$2:$G$1000,"&lt;&gt;Sí",Consultas!$B$2:$B$1000,"&gt;="&amp;IF($B$4="",1,$B$4),Consultas!$B$2:$B$1000,"&lt;="&amp;IF($B$5="",2958465,$B$5),Consultas!$N$2:$N$1000,"Confianza")</f>
        <v>0</v>
      </c>
      <c r="G63" s="29">
        <f>COUNTIFS(Consultas!$D$2:$D$1000,$A63,Consultas!$G$2:$G$1000,"&lt;&gt;Sí",Consultas!$B$2:$B$1000,"&gt;="&amp;IF($B$4="",1,$B$4),Consultas!$B$2:$B$1000,"&lt;="&amp;IF($B$5="",2958465,$B$5),Consultas!$N$2:$N$1000,"Stock")</f>
        <v>0</v>
      </c>
      <c r="H63" s="29">
        <f>COUNTIFS(Consultas!$D$2:$D$1000,$A63,Consultas!$G$2:$G$1000,"&lt;&gt;Sí",Consultas!$B$2:$B$1000,"&gt;="&amp;IF($B$4="",1,$B$4),Consultas!$B$2:$B$1000,"&lt;="&amp;IF($B$5="",2958465,$B$5),Consultas!$N$2:$N$1000,"Otra")</f>
        <v>0</v>
      </c>
      <c r="I63" s="29">
        <f>$B$14-SUM(B63:H63)</f>
        <v>0</v>
      </c>
    </row>
    <row r="64" spans="1:9" x14ac:dyDescent="0.25">
      <c r="A64" s="28" t="s">
        <v>25</v>
      </c>
      <c r="B64" s="29">
        <f>COUNTIFS(Consultas!$D$2:$D$1000,$A64,Consultas!$G$2:$G$1000,"&lt;&gt;Sí",Consultas!$B$2:$B$1000,"&gt;="&amp;IF($B$4="",1,$B$4),Consultas!$B$2:$B$1000,"&lt;="&amp;IF($B$5="",2958465,$B$5),Consultas!$N$2:$N$1000,"Precio")</f>
        <v>0</v>
      </c>
      <c r="C64" s="29">
        <f>COUNTIFS(Consultas!$D$2:$D$1000,$A64,Consultas!$G$2:$G$1000,"&lt;&gt;Sí",Consultas!$B$2:$B$1000,"&gt;="&amp;IF($B$4="",1,$B$4),Consultas!$B$2:$B$1000,"&lt;="&amp;IF($B$5="",2958465,$B$5),Consultas!$N$2:$N$1000,"Compatibilidad")</f>
        <v>0</v>
      </c>
      <c r="D64" s="29">
        <f>COUNTIFS(Consultas!$D$2:$D$1000,$A64,Consultas!$G$2:$G$1000,"&lt;&gt;Sí",Consultas!$B$2:$B$1000,"&gt;="&amp;IF($B$4="",1,$B$4),Consultas!$B$2:$B$1000,"&lt;="&amp;IF($B$5="",2958465,$B$5),Consultas!$N$2:$N$1000,"Envío")</f>
        <v>0</v>
      </c>
      <c r="E64" s="29">
        <f>COUNTIFS(Consultas!$D$2:$D$1000,$A64,Consultas!$G$2:$G$1000,"&lt;&gt;Sí",Consultas!$B$2:$B$1000,"&gt;="&amp;IF($B$4="",1,$B$4),Consultas!$B$2:$B$1000,"&lt;="&amp;IF($B$5="",2958465,$B$5),Consultas!$N$2:$N$1000,"Garantía")</f>
        <v>0</v>
      </c>
      <c r="F64" s="29">
        <f>COUNTIFS(Consultas!$D$2:$D$1000,$A64,Consultas!$G$2:$G$1000,"&lt;&gt;Sí",Consultas!$B$2:$B$1000,"&gt;="&amp;IF($B$4="",1,$B$4),Consultas!$B$2:$B$1000,"&lt;="&amp;IF($B$5="",2958465,$B$5),Consultas!$N$2:$N$1000,"Confianza")</f>
        <v>0</v>
      </c>
      <c r="G64" s="29">
        <f>COUNTIFS(Consultas!$D$2:$D$1000,$A64,Consultas!$G$2:$G$1000,"&lt;&gt;Sí",Consultas!$B$2:$B$1000,"&gt;="&amp;IF($B$4="",1,$B$4),Consultas!$B$2:$B$1000,"&lt;="&amp;IF($B$5="",2958465,$B$5),Consultas!$N$2:$N$1000,"Stock")</f>
        <v>0</v>
      </c>
      <c r="H64" s="29">
        <f>COUNTIFS(Consultas!$D$2:$D$1000,$A64,Consultas!$G$2:$G$1000,"&lt;&gt;Sí",Consultas!$B$2:$B$1000,"&gt;="&amp;IF($B$4="",1,$B$4),Consultas!$B$2:$B$1000,"&lt;="&amp;IF($B$5="",2958465,$B$5),Consultas!$N$2:$N$1000,"Otra")</f>
        <v>0</v>
      </c>
      <c r="I64" s="29">
        <f>$B$15-SUM(B64:H64)</f>
        <v>0</v>
      </c>
    </row>
    <row r="65" spans="1:9" x14ac:dyDescent="0.25">
      <c r="A65" s="36" t="s">
        <v>131</v>
      </c>
      <c r="B65" s="37">
        <f t="shared" ref="B65:I65" si="4">SUM(B59:B64)</f>
        <v>0</v>
      </c>
      <c r="C65" s="37">
        <f t="shared" si="4"/>
        <v>0</v>
      </c>
      <c r="D65" s="37">
        <f t="shared" si="4"/>
        <v>0</v>
      </c>
      <c r="E65" s="37">
        <f t="shared" si="4"/>
        <v>0</v>
      </c>
      <c r="F65" s="37">
        <f t="shared" si="4"/>
        <v>0</v>
      </c>
      <c r="G65" s="37">
        <f t="shared" si="4"/>
        <v>0</v>
      </c>
      <c r="H65" s="37">
        <f t="shared" si="4"/>
        <v>0</v>
      </c>
      <c r="I65" s="37">
        <f t="shared" si="4"/>
        <v>0</v>
      </c>
    </row>
    <row r="67" spans="1:9" x14ac:dyDescent="0.25">
      <c r="A67" s="3" t="s">
        <v>171</v>
      </c>
    </row>
    <row r="68" spans="1:9" ht="30" customHeight="1" x14ac:dyDescent="0.25">
      <c r="A68" s="9" t="s">
        <v>68</v>
      </c>
      <c r="B68" s="9" t="s">
        <v>172</v>
      </c>
      <c r="C68" s="9" t="s">
        <v>173</v>
      </c>
      <c r="D68" s="9" t="s">
        <v>174</v>
      </c>
    </row>
    <row r="69" spans="1:9" x14ac:dyDescent="0.25">
      <c r="A69" s="28" t="s">
        <v>128</v>
      </c>
      <c r="B69" s="29">
        <f>COUNTIFS(Consultas!$D$2:$D$1000,$A69,Consultas!$G$2:$G$1000,"&lt;&gt;Sí",Consultas!$B$2:$B$1000,"&gt;="&amp;IF($B$4="",1,$B$4),Consultas!$B$2:$B$1000,"&lt;="&amp;IF($B$5="",2958465,$B$5),Consultas!$M$2:$M$1000,"&gt;=0")</f>
        <v>0</v>
      </c>
      <c r="C69" s="29">
        <f>SUMIFS(Consultas!$M$2:$M$1000,Consultas!$D$2:$D$1000,$A69,Consultas!$G$2:$G$1000,"&lt;&gt;Sí",Consultas!$B$2:$B$1000,"&gt;="&amp;IF($B$4="",1,$B$4),Consultas!$B$2:$B$1000,"&lt;="&amp;IF($B$5="",2958465,$B$5),Consultas!$M$2:$M$1000,"&gt;=0")</f>
        <v>0</v>
      </c>
      <c r="D69" s="48" t="str">
        <f t="shared" ref="D69:D75" si="5">IF(B69=0,"NO CALCULABLE",C69/B69)</f>
        <v>NO CALCULABLE</v>
      </c>
    </row>
    <row r="70" spans="1:9" x14ac:dyDescent="0.25">
      <c r="A70" s="28" t="s">
        <v>129</v>
      </c>
      <c r="B70" s="29">
        <f>COUNTIFS(Consultas!$D$2:$D$1000,$A70,Consultas!$G$2:$G$1000,"&lt;&gt;Sí",Consultas!$B$2:$B$1000,"&gt;="&amp;IF($B$4="",1,$B$4),Consultas!$B$2:$B$1000,"&lt;="&amp;IF($B$5="",2958465,$B$5),Consultas!$M$2:$M$1000,"&gt;=0")</f>
        <v>0</v>
      </c>
      <c r="C70" s="29">
        <f>SUMIFS(Consultas!$M$2:$M$1000,Consultas!$D$2:$D$1000,$A70,Consultas!$G$2:$G$1000,"&lt;&gt;Sí",Consultas!$B$2:$B$1000,"&gt;="&amp;IF($B$4="",1,$B$4),Consultas!$B$2:$B$1000,"&lt;="&amp;IF($B$5="",2958465,$B$5),Consultas!$M$2:$M$1000,"&gt;=0")</f>
        <v>0</v>
      </c>
      <c r="D70" s="48" t="str">
        <f t="shared" si="5"/>
        <v>NO CALCULABLE</v>
      </c>
    </row>
    <row r="71" spans="1:9" x14ac:dyDescent="0.25">
      <c r="A71" s="28" t="s">
        <v>19</v>
      </c>
      <c r="B71" s="29">
        <f>COUNTIFS(Consultas!$D$2:$D$1000,$A71,Consultas!$G$2:$G$1000,"&lt;&gt;Sí",Consultas!$B$2:$B$1000,"&gt;="&amp;IF($B$4="",1,$B$4),Consultas!$B$2:$B$1000,"&lt;="&amp;IF($B$5="",2958465,$B$5),Consultas!$M$2:$M$1000,"&gt;=0")</f>
        <v>0</v>
      </c>
      <c r="C71" s="29">
        <f>SUMIFS(Consultas!$M$2:$M$1000,Consultas!$D$2:$D$1000,$A71,Consultas!$G$2:$G$1000,"&lt;&gt;Sí",Consultas!$B$2:$B$1000,"&gt;="&amp;IF($B$4="",1,$B$4),Consultas!$B$2:$B$1000,"&lt;="&amp;IF($B$5="",2958465,$B$5),Consultas!$M$2:$M$1000,"&gt;=0")</f>
        <v>0</v>
      </c>
      <c r="D71" s="48" t="str">
        <f t="shared" si="5"/>
        <v>NO CALCULABLE</v>
      </c>
    </row>
    <row r="72" spans="1:9" x14ac:dyDescent="0.25">
      <c r="A72" s="28" t="s">
        <v>21</v>
      </c>
      <c r="B72" s="29">
        <f>COUNTIFS(Consultas!$D$2:$D$1000,$A72,Consultas!$G$2:$G$1000,"&lt;&gt;Sí",Consultas!$B$2:$B$1000,"&gt;="&amp;IF($B$4="",1,$B$4),Consultas!$B$2:$B$1000,"&lt;="&amp;IF($B$5="",2958465,$B$5),Consultas!$M$2:$M$1000,"&gt;=0")</f>
        <v>0</v>
      </c>
      <c r="C72" s="29">
        <f>SUMIFS(Consultas!$M$2:$M$1000,Consultas!$D$2:$D$1000,$A72,Consultas!$G$2:$G$1000,"&lt;&gt;Sí",Consultas!$B$2:$B$1000,"&gt;="&amp;IF($B$4="",1,$B$4),Consultas!$B$2:$B$1000,"&lt;="&amp;IF($B$5="",2958465,$B$5),Consultas!$M$2:$M$1000,"&gt;=0")</f>
        <v>0</v>
      </c>
      <c r="D72" s="48" t="str">
        <f t="shared" si="5"/>
        <v>NO CALCULABLE</v>
      </c>
    </row>
    <row r="73" spans="1:9" x14ac:dyDescent="0.25">
      <c r="A73" s="28" t="s">
        <v>23</v>
      </c>
      <c r="B73" s="29">
        <f>COUNTIFS(Consultas!$D$2:$D$1000,$A73,Consultas!$G$2:$G$1000,"&lt;&gt;Sí",Consultas!$B$2:$B$1000,"&gt;="&amp;IF($B$4="",1,$B$4),Consultas!$B$2:$B$1000,"&lt;="&amp;IF($B$5="",2958465,$B$5),Consultas!$M$2:$M$1000,"&gt;=0")</f>
        <v>0</v>
      </c>
      <c r="C73" s="29">
        <f>SUMIFS(Consultas!$M$2:$M$1000,Consultas!$D$2:$D$1000,$A73,Consultas!$G$2:$G$1000,"&lt;&gt;Sí",Consultas!$B$2:$B$1000,"&gt;="&amp;IF($B$4="",1,$B$4),Consultas!$B$2:$B$1000,"&lt;="&amp;IF($B$5="",2958465,$B$5),Consultas!$M$2:$M$1000,"&gt;=0")</f>
        <v>0</v>
      </c>
      <c r="D73" s="48" t="str">
        <f t="shared" si="5"/>
        <v>NO CALCULABLE</v>
      </c>
    </row>
    <row r="74" spans="1:9" x14ac:dyDescent="0.25">
      <c r="A74" s="28" t="s">
        <v>25</v>
      </c>
      <c r="B74" s="29">
        <f>COUNTIFS(Consultas!$D$2:$D$1000,$A74,Consultas!$G$2:$G$1000,"&lt;&gt;Sí",Consultas!$B$2:$B$1000,"&gt;="&amp;IF($B$4="",1,$B$4),Consultas!$B$2:$B$1000,"&lt;="&amp;IF($B$5="",2958465,$B$5),Consultas!$M$2:$M$1000,"&gt;=0")</f>
        <v>0</v>
      </c>
      <c r="C74" s="29">
        <f>SUMIFS(Consultas!$M$2:$M$1000,Consultas!$D$2:$D$1000,$A74,Consultas!$G$2:$G$1000,"&lt;&gt;Sí",Consultas!$B$2:$B$1000,"&gt;="&amp;IF($B$4="",1,$B$4),Consultas!$B$2:$B$1000,"&lt;="&amp;IF($B$5="",2958465,$B$5),Consultas!$M$2:$M$1000,"&gt;=0")</f>
        <v>0</v>
      </c>
      <c r="D74" s="48" t="str">
        <f t="shared" si="5"/>
        <v>NO CALCULABLE</v>
      </c>
    </row>
    <row r="75" spans="1:9" x14ac:dyDescent="0.25">
      <c r="A75" s="36" t="s">
        <v>131</v>
      </c>
      <c r="B75" s="37">
        <f>SUM(B69:B74)</f>
        <v>0</v>
      </c>
      <c r="C75" s="37">
        <f>SUM(C69:C74)</f>
        <v>0</v>
      </c>
      <c r="D75" s="49" t="str">
        <f t="shared" si="5"/>
        <v>NO CALCULABLE</v>
      </c>
    </row>
    <row r="76" spans="1:9" x14ac:dyDescent="0.25">
      <c r="A76" s="2" t="s">
        <v>175</v>
      </c>
    </row>
    <row r="78" spans="1:9" x14ac:dyDescent="0.25">
      <c r="A78" s="3" t="s">
        <v>176</v>
      </c>
    </row>
    <row r="79" spans="1:9" x14ac:dyDescent="0.25">
      <c r="A79" s="57" t="s">
        <v>177</v>
      </c>
      <c r="B79" s="52"/>
      <c r="C79" s="52"/>
      <c r="D79" s="52"/>
      <c r="E79" s="52"/>
      <c r="F79" s="52"/>
      <c r="G79" s="52"/>
      <c r="H79" s="52"/>
      <c r="I79" s="50">
        <f>SUMPRODUCT((LEN(Consultas!$B$2:$B$1000)&gt;0)*(LEN(Consultas!$D$2:$D$1000)=0))</f>
        <v>0</v>
      </c>
    </row>
    <row r="80" spans="1:9" x14ac:dyDescent="0.25">
      <c r="A80" s="57" t="s">
        <v>178</v>
      </c>
      <c r="B80" s="52"/>
      <c r="C80" s="52"/>
      <c r="D80" s="52"/>
      <c r="E80" s="52"/>
      <c r="F80" s="52"/>
      <c r="G80" s="52"/>
      <c r="H80" s="52"/>
      <c r="I80" s="50">
        <f>SUMPRODUCT((LEN(Consultas!$D$2:$D$1000)&gt;0)*(LEN(Consultas!$B$2:$B$1000)=0))</f>
        <v>0</v>
      </c>
    </row>
    <row r="81" spans="1:9" x14ac:dyDescent="0.25">
      <c r="A81" s="57" t="s">
        <v>179</v>
      </c>
      <c r="B81" s="52"/>
      <c r="C81" s="52"/>
      <c r="D81" s="52"/>
      <c r="E81" s="52"/>
      <c r="F81" s="52"/>
      <c r="G81" s="52"/>
      <c r="H81" s="52"/>
      <c r="I81" s="50">
        <f>SUMPRODUCT((Consultas!$H$2:$H$1000="Sí")*(Consultas!$F$2:$F$1000&lt;&gt;"GAM")*(Consultas!$F$2:$F$1000&lt;&gt;"Fuera de GAM"))</f>
        <v>0</v>
      </c>
    </row>
    <row r="82" spans="1:9" x14ac:dyDescent="0.25">
      <c r="A82" s="57" t="s">
        <v>180</v>
      </c>
      <c r="B82" s="52"/>
      <c r="C82" s="52"/>
      <c r="D82" s="52"/>
      <c r="E82" s="52"/>
      <c r="F82" s="52"/>
      <c r="G82" s="52"/>
      <c r="H82" s="52"/>
      <c r="I82" s="50">
        <f>SUMPRODUCT((Consultas!$J$2:$J$1000="Sí")*(Consultas!$H$2:$H$1000&lt;&gt;"Sí"))</f>
        <v>0</v>
      </c>
    </row>
    <row r="83" spans="1:9" x14ac:dyDescent="0.25">
      <c r="A83" s="57" t="s">
        <v>181</v>
      </c>
      <c r="B83" s="52"/>
      <c r="C83" s="52"/>
      <c r="D83" s="52"/>
      <c r="E83" s="52"/>
      <c r="F83" s="52"/>
      <c r="G83" s="52"/>
      <c r="H83" s="52"/>
      <c r="I83" s="50">
        <f>SUMPRODUCT((Consultas!$K$2:$K$1000="Sí")*(Consultas!$J$2:$J$1000&lt;&gt;"Sí"))</f>
        <v>0</v>
      </c>
    </row>
    <row r="84" spans="1:9" x14ac:dyDescent="0.25">
      <c r="A84" s="57" t="s">
        <v>182</v>
      </c>
      <c r="B84" s="52"/>
      <c r="C84" s="52"/>
      <c r="D84" s="52"/>
      <c r="E84" s="52"/>
      <c r="F84" s="52"/>
      <c r="G84" s="52"/>
      <c r="H84" s="52"/>
      <c r="I84" s="50">
        <f>SUMPRODUCT((Consultas!$K$2:$K$1000="Sí")*(LEN(Consultas!$L$2:$L$1000)=0))</f>
        <v>0</v>
      </c>
    </row>
    <row r="85" spans="1:9" x14ac:dyDescent="0.25">
      <c r="A85" s="57" t="s">
        <v>183</v>
      </c>
      <c r="B85" s="52"/>
      <c r="C85" s="52"/>
      <c r="D85" s="52"/>
      <c r="E85" s="52"/>
      <c r="F85" s="52"/>
      <c r="G85" s="52"/>
      <c r="H85" s="52"/>
      <c r="I85" s="50">
        <f>SUMPRODUCT((LEN(Consultas!$L$2:$L$1000)&gt;0)*(Consultas!$K$2:$K$1000&lt;&gt;"Sí"))</f>
        <v>0</v>
      </c>
    </row>
    <row r="86" spans="1:9" x14ac:dyDescent="0.25">
      <c r="A86" s="57" t="s">
        <v>184</v>
      </c>
      <c r="B86" s="52"/>
      <c r="C86" s="52"/>
      <c r="D86" s="52"/>
      <c r="E86" s="52"/>
      <c r="F86" s="52"/>
      <c r="G86" s="52"/>
      <c r="H86" s="52"/>
      <c r="I86" s="20">
        <f>COUNTIF(Consultas!$G$2:$G$1000,"Sí")</f>
        <v>0</v>
      </c>
    </row>
  </sheetData>
  <mergeCells count="15">
    <mergeCell ref="A33:H33"/>
    <mergeCell ref="B6:K6"/>
    <mergeCell ref="A80:H80"/>
    <mergeCell ref="A32:H32"/>
    <mergeCell ref="A79:H79"/>
    <mergeCell ref="B36:K36"/>
    <mergeCell ref="A34:H34"/>
    <mergeCell ref="B45:K45"/>
    <mergeCell ref="A84:H84"/>
    <mergeCell ref="A83:H83"/>
    <mergeCell ref="A35:H35"/>
    <mergeCell ref="A86:H86"/>
    <mergeCell ref="A81:H81"/>
    <mergeCell ref="A82:H82"/>
    <mergeCell ref="A85:H85"/>
  </mergeCells>
  <conditionalFormatting sqref="B6">
    <cfRule type="expression" dxfId="1" priority="2">
      <formula>SUM($I$79:$I$85)&gt;0</formula>
    </cfRule>
  </conditionalFormatting>
  <conditionalFormatting sqref="I79:I85">
    <cfRule type="expression" dxfId="0" priority="1">
      <formula>I79&gt;0</formula>
    </cfRule>
  </conditionalFormatting>
  <dataValidations count="6">
    <dataValidation type="date" allowBlank="1" showErrorMessage="1" errorTitle="Fecha no válida" error="Escribí la fecha como dd/mm/aaaa." sqref="B4:B5 F26:F29" xr:uid="{00000000-0002-0000-0300-000000000000}">
      <formula1>DATE(2026,1,1)</formula1>
      <formula2>DATE(2030,12,31)</formula2>
    </dataValidation>
    <dataValidation type="decimal" operator="greaterThanOrEqual" allowBlank="1" showInputMessage="1" showErrorMessage="1" errorTitle="Monto no válido" error="Solo números en colones." promptTitle="Inversión en pauta" prompt="Lo invertido en anuncios pagados de esa pieza en las fechas Desde/Hasta. Vacía = sin pauta (orgánico)." sqref="H10:H13" xr:uid="{00000000-0002-0000-0300-000001000000}">
      <formula1>0</formula1>
    </dataValidation>
    <dataValidation type="whole" operator="greaterThanOrEqual" allowBlank="1" showInputMessage="1" showErrorMessage="1" errorTitle="Alcance no válido" error="Número entero de cuentas o personas alcanzadas." promptTitle="Alcance (Insights)" prompt="Total de cuentas o personas alcanzadas en esa plataforma, no reproducciones. Vacía si la pieza no se publicó ahí o no hay dato." sqref="B26:D29" xr:uid="{00000000-0002-0000-0300-000002000000}">
      <formula1>0</formula1>
    </dataValidation>
    <dataValidation type="list" allowBlank="1" showInputMessage="1" showErrorMessage="1" errorTitle="Valor no válido" error="Elegí Sí o No." promptTitle="Condición" prompt="Elegí Sí o No." sqref="I32 I33 I34 I35" xr:uid="{00000000-0002-0000-0300-000004000000}">
      <formula1>"Sí,No"</formula1>
    </dataValidation>
    <dataValidation type="date" allowBlank="1" showInputMessage="1" showErrorMessage="1" errorTitle="Fecha no válida" error="Escribí la fecha como dd/mm/aaaa." promptTitle="Fecha de publicación" prompt="Día en que se publicó la pieza (dd/mm/aaaa)." sqref="B42:B43" xr:uid="{00000000-0002-0000-0300-000005000000}">
      <formula1>DATE(2026,1,1)</formula1>
      <formula2>DATE(2030,12,31)</formula2>
    </dataValidation>
    <dataValidation type="whole" operator="greaterThanOrEqual" allowBlank="1" showInputMessage="1" showErrorMessage="1" errorTitle="Alcance no válido" error="Número entero de cuentas o personas alcanzadas." promptTitle="Alcance en la ventana" prompt="Cuentas o personas alcanzadas por la pieza, sumando sus plataformas, leído el día «Cuenta hasta». Vacía si no hay dato." sqref="J42:J43" xr:uid="{00000000-0002-0000-0300-000006000000}">
      <formula1>0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Fichas</vt:lpstr>
      <vt:lpstr>Consultas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Altiora</dc:creator>
  <cp:lastModifiedBy>Altiora</cp:lastModifiedBy>
  <dcterms:created xsi:type="dcterms:W3CDTF">2026-10-30T01:56:43Z</dcterms:created>
  <dcterms:modified xsi:type="dcterms:W3CDTF">2026-10-30T01:58:25Z</dcterms:modified>
</cp:coreProperties>
</file>