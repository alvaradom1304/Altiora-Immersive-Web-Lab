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AppData\Local\Temp\claude\C--Users-Usuario-Documents-Codex-2026-10-29-referenced-chatgpt-conversation-this-is-an-work-Altiora-Immersive-Web-Lab\07312f5f-5198-409f-81c9-36c04a037b42\scratchpad\final\"/>
    </mc:Choice>
  </mc:AlternateContent>
  <xr:revisionPtr revIDLastSave="0" documentId="13_ncr:1_{C4BF80F5-E98A-461E-BE6B-606DD56EFBBC}" xr6:coauthVersionLast="47" xr6:coauthVersionMax="47" xr10:uidLastSave="{00000000-0000-0000-0000-000000000000}"/>
  <bookViews>
    <workbookView xWindow="1560" yWindow="1560" windowWidth="15375" windowHeight="8325" xr2:uid="{00000000-000D-0000-FFFF-FFFF00000000}"/>
  </bookViews>
  <sheets>
    <sheet name="Instrucciones" sheetId="1" r:id="rId1"/>
    <sheet name="Fichas" sheetId="2" r:id="rId2"/>
    <sheet name="Consultas" sheetId="3" r:id="rId3"/>
    <sheet name="Resumen" sheetId="4" r:id="rId4"/>
  </sheets>
  <definedNames>
    <definedName name="_xlnm._FilterDatabase" localSheetId="2" hidden="1">Consultas!$A$1:$O$301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4" l="1"/>
  <c r="I105" i="4"/>
  <c r="I104" i="4"/>
  <c r="I103" i="4"/>
  <c r="I102" i="4"/>
  <c r="I101" i="4"/>
  <c r="I100" i="4"/>
  <c r="I99" i="4"/>
  <c r="I98" i="4"/>
  <c r="C93" i="4"/>
  <c r="B93" i="4"/>
  <c r="D93" i="4" s="1"/>
  <c r="C92" i="4"/>
  <c r="B92" i="4"/>
  <c r="D92" i="4" s="1"/>
  <c r="C91" i="4"/>
  <c r="B91" i="4"/>
  <c r="D91" i="4" s="1"/>
  <c r="C90" i="4"/>
  <c r="B90" i="4"/>
  <c r="D90" i="4" s="1"/>
  <c r="C89" i="4"/>
  <c r="B89" i="4"/>
  <c r="D89" i="4" s="1"/>
  <c r="C88" i="4"/>
  <c r="C94" i="4" s="1"/>
  <c r="B88" i="4"/>
  <c r="H83" i="4"/>
  <c r="G83" i="4"/>
  <c r="F83" i="4"/>
  <c r="E83" i="4"/>
  <c r="D83" i="4"/>
  <c r="C83" i="4"/>
  <c r="B83" i="4"/>
  <c r="H82" i="4"/>
  <c r="G82" i="4"/>
  <c r="F82" i="4"/>
  <c r="E82" i="4"/>
  <c r="D82" i="4"/>
  <c r="C82" i="4"/>
  <c r="B82" i="4"/>
  <c r="H81" i="4"/>
  <c r="G81" i="4"/>
  <c r="F81" i="4"/>
  <c r="E81" i="4"/>
  <c r="D81" i="4"/>
  <c r="C81" i="4"/>
  <c r="B81" i="4"/>
  <c r="H80" i="4"/>
  <c r="G80" i="4"/>
  <c r="F80" i="4"/>
  <c r="E80" i="4"/>
  <c r="D80" i="4"/>
  <c r="C80" i="4"/>
  <c r="B80" i="4"/>
  <c r="H79" i="4"/>
  <c r="G79" i="4"/>
  <c r="F79" i="4"/>
  <c r="E79" i="4"/>
  <c r="D79" i="4"/>
  <c r="C79" i="4"/>
  <c r="B79" i="4"/>
  <c r="H78" i="4"/>
  <c r="H84" i="4" s="1"/>
  <c r="G78" i="4"/>
  <c r="G84" i="4" s="1"/>
  <c r="F78" i="4"/>
  <c r="F84" i="4" s="1"/>
  <c r="E78" i="4"/>
  <c r="E84" i="4" s="1"/>
  <c r="D78" i="4"/>
  <c r="D84" i="4" s="1"/>
  <c r="C78" i="4"/>
  <c r="C84" i="4" s="1"/>
  <c r="B78" i="4"/>
  <c r="B84" i="4" s="1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D74" i="4" s="1"/>
  <c r="C68" i="4"/>
  <c r="C74" i="4" s="1"/>
  <c r="B68" i="4"/>
  <c r="B74" i="4" s="1"/>
  <c r="B64" i="4"/>
  <c r="G63" i="4"/>
  <c r="F63" i="4"/>
  <c r="E63" i="4"/>
  <c r="D63" i="4"/>
  <c r="K62" i="4"/>
  <c r="G62" i="4"/>
  <c r="F62" i="4"/>
  <c r="E62" i="4"/>
  <c r="I62" i="4" s="1"/>
  <c r="D62" i="4"/>
  <c r="H62" i="4" s="1"/>
  <c r="C62" i="4"/>
  <c r="K61" i="4"/>
  <c r="G61" i="4"/>
  <c r="F61" i="4"/>
  <c r="E61" i="4"/>
  <c r="I61" i="4" s="1"/>
  <c r="D61" i="4"/>
  <c r="H61" i="4" s="1"/>
  <c r="C61" i="4"/>
  <c r="B55" i="4"/>
  <c r="A48" i="4"/>
  <c r="G45" i="4"/>
  <c r="F45" i="4"/>
  <c r="E45" i="4"/>
  <c r="D45" i="4"/>
  <c r="C45" i="4"/>
  <c r="J45" i="4" s="1"/>
  <c r="B45" i="4"/>
  <c r="I45" i="4" s="1"/>
  <c r="G44" i="4"/>
  <c r="F44" i="4"/>
  <c r="E44" i="4"/>
  <c r="D44" i="4"/>
  <c r="C44" i="4"/>
  <c r="J44" i="4" s="1"/>
  <c r="B44" i="4"/>
  <c r="I44" i="4" s="1"/>
  <c r="G43" i="4"/>
  <c r="F43" i="4"/>
  <c r="E43" i="4"/>
  <c r="D43" i="4"/>
  <c r="C43" i="4"/>
  <c r="J43" i="4" s="1"/>
  <c r="B43" i="4"/>
  <c r="I43" i="4" s="1"/>
  <c r="G42" i="4"/>
  <c r="F42" i="4"/>
  <c r="E42" i="4"/>
  <c r="D42" i="4"/>
  <c r="C42" i="4"/>
  <c r="B42" i="4"/>
  <c r="I42" i="4" s="1"/>
  <c r="G41" i="4"/>
  <c r="F41" i="4"/>
  <c r="E41" i="4"/>
  <c r="D41" i="4"/>
  <c r="C41" i="4"/>
  <c r="J41" i="4" s="1"/>
  <c r="B41" i="4"/>
  <c r="I41" i="4" s="1"/>
  <c r="G40" i="4"/>
  <c r="F40" i="4"/>
  <c r="E40" i="4"/>
  <c r="D40" i="4"/>
  <c r="C40" i="4"/>
  <c r="J40" i="4" s="1"/>
  <c r="B40" i="4"/>
  <c r="I40" i="4" s="1"/>
  <c r="G39" i="4"/>
  <c r="F39" i="4"/>
  <c r="E39" i="4"/>
  <c r="D39" i="4"/>
  <c r="C39" i="4"/>
  <c r="J39" i="4" s="1"/>
  <c r="B39" i="4"/>
  <c r="I39" i="4" s="1"/>
  <c r="G38" i="4"/>
  <c r="F38" i="4"/>
  <c r="E38" i="4"/>
  <c r="D38" i="4"/>
  <c r="C38" i="4"/>
  <c r="J38" i="4" s="1"/>
  <c r="B38" i="4"/>
  <c r="I38" i="4" s="1"/>
  <c r="G37" i="4"/>
  <c r="F37" i="4"/>
  <c r="E37" i="4"/>
  <c r="D37" i="4"/>
  <c r="C37" i="4"/>
  <c r="J37" i="4" s="1"/>
  <c r="B37" i="4"/>
  <c r="I37" i="4" s="1"/>
  <c r="G36" i="4"/>
  <c r="G46" i="4" s="1"/>
  <c r="F36" i="4"/>
  <c r="F46" i="4" s="1"/>
  <c r="E36" i="4"/>
  <c r="E46" i="4" s="1"/>
  <c r="D36" i="4"/>
  <c r="D46" i="4" s="1"/>
  <c r="C36" i="4"/>
  <c r="B36" i="4"/>
  <c r="E29" i="4"/>
  <c r="E28" i="4"/>
  <c r="E27" i="4"/>
  <c r="E26" i="4"/>
  <c r="L16" i="4"/>
  <c r="H16" i="4"/>
  <c r="G15" i="4"/>
  <c r="F15" i="4"/>
  <c r="E15" i="4"/>
  <c r="D15" i="4"/>
  <c r="C15" i="4"/>
  <c r="B15" i="4"/>
  <c r="G14" i="4"/>
  <c r="F14" i="4"/>
  <c r="E14" i="4"/>
  <c r="D14" i="4"/>
  <c r="C14" i="4"/>
  <c r="B14" i="4"/>
  <c r="L13" i="4"/>
  <c r="G13" i="4"/>
  <c r="F13" i="4"/>
  <c r="E13" i="4"/>
  <c r="D13" i="4"/>
  <c r="C13" i="4"/>
  <c r="B13" i="4"/>
  <c r="L12" i="4"/>
  <c r="G12" i="4"/>
  <c r="F12" i="4"/>
  <c r="E12" i="4"/>
  <c r="D12" i="4"/>
  <c r="C12" i="4"/>
  <c r="B12" i="4"/>
  <c r="L11" i="4"/>
  <c r="G11" i="4"/>
  <c r="F11" i="4"/>
  <c r="E11" i="4"/>
  <c r="D11" i="4"/>
  <c r="C11" i="4"/>
  <c r="B11" i="4"/>
  <c r="L10" i="4"/>
  <c r="G10" i="4"/>
  <c r="G16" i="4" s="1"/>
  <c r="F10" i="4"/>
  <c r="F16" i="4" s="1"/>
  <c r="E10" i="4"/>
  <c r="D10" i="4"/>
  <c r="D16" i="4" s="1"/>
  <c r="C10" i="4"/>
  <c r="B10" i="4"/>
  <c r="B6" i="4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D5" i="2"/>
  <c r="C5" i="2"/>
  <c r="D4" i="2"/>
  <c r="C4" i="2"/>
  <c r="D3" i="2"/>
  <c r="C3" i="2"/>
  <c r="E16" i="4" l="1"/>
  <c r="B94" i="4"/>
  <c r="D94" i="4" s="1"/>
  <c r="D88" i="4"/>
  <c r="J42" i="4"/>
  <c r="K42" i="4"/>
  <c r="C46" i="4"/>
  <c r="J46" i="4" s="1"/>
  <c r="J36" i="4"/>
  <c r="I36" i="4"/>
  <c r="B46" i="4"/>
  <c r="I46" i="4" s="1"/>
  <c r="J15" i="4"/>
  <c r="K15" i="4"/>
  <c r="I15" i="4"/>
  <c r="I83" i="4"/>
  <c r="E73" i="4"/>
  <c r="K14" i="4"/>
  <c r="J14" i="4"/>
  <c r="I14" i="4"/>
  <c r="I82" i="4"/>
  <c r="E72" i="4"/>
  <c r="J13" i="4"/>
  <c r="K13" i="4"/>
  <c r="I81" i="4"/>
  <c r="I13" i="4"/>
  <c r="E71" i="4"/>
  <c r="J12" i="4"/>
  <c r="K12" i="4"/>
  <c r="I80" i="4"/>
  <c r="I12" i="4"/>
  <c r="E70" i="4"/>
  <c r="K11" i="4"/>
  <c r="J11" i="4"/>
  <c r="I79" i="4"/>
  <c r="I11" i="4"/>
  <c r="E69" i="4"/>
  <c r="K10" i="4"/>
  <c r="J10" i="4"/>
  <c r="C16" i="4"/>
  <c r="I78" i="4"/>
  <c r="I10" i="4"/>
  <c r="B16" i="4"/>
  <c r="E68" i="4"/>
  <c r="E74" i="4" s="1"/>
  <c r="J16" i="4" l="1"/>
  <c r="K16" i="4"/>
  <c r="I16" i="4"/>
  <c r="I47" i="4"/>
  <c r="I8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Altiora</author>
  </authors>
  <commentList>
    <comment ref="U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CONFIDENCIAL: el costo sirve solo para calcular margen. No va en anuncios, guiones ni conversaciones con clientes. Si compartís el archivo fuera del negocio, dejalo vacío.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Altiora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Se pone solo al escribir la fecha o el código. Es un correlativo, nunca el teléfono.</t>
        </r>
      </text>
    </comment>
    <comment ref="C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Dónde vio la publicación por primera vez, no por dónde escribe. Marketplace, grupos y estados llevan código OTRO.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Altiora</author>
  </authors>
  <commentList>
    <comment ref="K1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Total = pauta total ÷ cualificadas de los códigos que tienen pauta. Las consultas orgánicas no se mezclan en este costo.</t>
        </r>
      </text>
    </comment>
    <comment ref="L1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Total = cualificadas de los códigos que tienen alcance ÷ ese alcance sumado. Los códigos sin alcance no entran.</t>
        </r>
      </text>
    </comment>
  </commentList>
</comments>
</file>

<file path=xl/sharedStrings.xml><?xml version="1.0" encoding="utf-8"?>
<sst xmlns="http://schemas.openxmlformats.org/spreadsheetml/2006/main" count="365" uniqueCount="212">
  <si>
    <t>Registro El Tilichero: fichas, consultas y resumen</t>
  </si>
  <si>
    <t>Plantilla vacía. Sirve para saber qué video trae pedidos sin guardar datos personales.</t>
  </si>
  <si>
    <t>Leyenda</t>
  </si>
  <si>
    <t>Celda amarilla</t>
  </si>
  <si>
    <t>Se llena a mano.</t>
  </si>
  <si>
    <t>Celda gris</t>
  </si>
  <si>
    <t>Se calcula sola. No escribir encima.</t>
  </si>
  <si>
    <t>Fila roja en «Consultas»</t>
  </si>
  <si>
    <t>Algo no cuadra en esa fila (ver «Control del registro» en «Resumen»).</t>
  </si>
  <si>
    <t>Cuándo llenar</t>
  </si>
  <si>
    <t>Antes de grabar</t>
  </si>
  <si>
    <t>Hoja «Fichas»: una fila por producto (GAME, RETRO, RGB). Ningún dato entra a un guion hasta que su columna «¿Verificado?» diga Sí.</t>
  </si>
  <si>
    <t>Cada día</t>
  </si>
  <si>
    <t>Hoja «Consultas»: una fila por conversación nueva de WhatsApp. El N.º se pone solo al escribir la fecha o el código.</t>
  </si>
  <si>
    <t>A los 7 días</t>
  </si>
  <si>
    <t>Hoja «Resumen»: escribí Desde/Hasta, la inversión en pauta de cada código (vacía = sin pauta), el alcance de cada pieza por plataforma (de Insights), las fechas de publicación y el alcance de GAME1 y GAME2 en su ventana, y contestá las preguntas de condiciones. Mandá el resumen a Altiora.</t>
  </si>
  <si>
    <t>Códigos de pieza</t>
  </si>
  <si>
    <t>GAME1 y GAME2</t>
  </si>
  <si>
    <t>Dos videos distintos del MISMO audífono gaming (se comparan entre sí).</t>
  </si>
  <si>
    <t>RETRO1</t>
  </si>
  <si>
    <t>Video de la consola portátil retro.</t>
  </si>
  <si>
    <t>RGB1</t>
  </si>
  <si>
    <t>Video del mouse o periférico gaming (o del accesorio que lo sustituya).</t>
  </si>
  <si>
    <t>Regla común</t>
  </si>
  <si>
    <t>El código dice de qué pieza viene la consulta; el canal dice dónde la vio.</t>
  </si>
  <si>
    <t>OTRO</t>
  </si>
  <si>
    <t>Vino por una publicación sin código que sí se identifica: Marketplace, grupo, estado de WhatsApp, clip o anuncio con foto. Se anota con su canal.</t>
  </si>
  <si>
    <t>SIN CODIGO</t>
  </si>
  <si>
    <t>No se sabe la pieza: no dijo código ni de qué publicación viene, aunque diga el canal («lo vi en Instagram») o que se lo recomendaron. También si escribió un código que no está en la lista (copialo en la nota). Se anota con su canal: Instagram, Facebook (página), TikTok, Recomendación o No dijo.</t>
  </si>
  <si>
    <t>Canal de origen</t>
  </si>
  <si>
    <t>Regla</t>
  </si>
  <si>
    <t>El canal es dónde vio la publicación por primera vez, no por dónde escribe. Casi todo termina en WhatsApp, pero eso no cambia el canal.</t>
  </si>
  <si>
    <t>Instagram / TikTok</t>
  </si>
  <si>
    <t>Vio una publicación, reel, historia o clip sin pagar en esa red.</t>
  </si>
  <si>
    <t>Facebook (página)</t>
  </si>
  <si>
    <t>Vio una publicación o reel de la página de El Tilichero, sin pagar.</t>
  </si>
  <si>
    <t>Facebook Marketplace</t>
  </si>
  <si>
    <t>Vio la publicación en Marketplace, aunque escriba por Messenger y después pase a WhatsApp. Código: OTRO.</t>
  </si>
  <si>
    <t>Grupo de Facebook</t>
  </si>
  <si>
    <t>Vio la publicación en un grupo de compra y venta. Código: OTRO.</t>
  </si>
  <si>
    <t>Estado de WhatsApp</t>
  </si>
  <si>
    <t>Vio un estado de WhatsApp del negocio. Código: OTRO.</t>
  </si>
  <si>
    <t>Anuncio pagado (Meta)</t>
  </si>
  <si>
    <t>Llegó por un anuncio pagado de Facebook o Instagram, por ejemplo uno de clic a WhatsApp. Código: el de la pieza si el anuncio la usa; si no, OTRO.</t>
  </si>
  <si>
    <t>Recomendación / Otro / No dijo</t>
  </si>
  <si>
    <t>Recomendación: se lo recomendó alguien (código SIN CODIGO). Otro: cualquier otro origen. No dijo: no sabe o no contesta (código SIN CODIGO; no insistir).</t>
  </si>
  <si>
    <t>Alcance (Insights)</t>
  </si>
  <si>
    <t>Qué anotar</t>
  </si>
  <si>
    <t>El total de cuentas o personas alcanzadas por cada pieza en cada plataforma, no las reproducciones. Solo el número: nunca nombres de cuentas ni listas de quién la vio.</t>
  </si>
  <si>
    <t>Dónde verlo</t>
  </si>
  <si>
    <t>En las estadísticas (Insights) de cada publicación, con cuenta profesional. Instagram: «Cuentas alcanzadas». Facebook (Meta Business Suite): «Alcance». TikTok: el dato de espectadores del video. Los nombres pueden cambiar con la app.</t>
  </si>
  <si>
    <t>Cuándo leerlo</t>
  </si>
  <si>
    <t>Cuadro general: el día «Hasta». Prueba A: el día «Cuenta hasta» de cada pieza. El alcance se acumula, así que leerlo otro día cambia el número.</t>
  </si>
  <si>
    <t>No registrar</t>
  </si>
  <si>
    <t>Nunca</t>
  </si>
  <si>
    <t>Nombres, teléfonos, direcciones exactas, correos, capturas de chats ni datos de pago. La zona es solo GAM / Fuera de GAM / No dijo.</t>
  </si>
  <si>
    <t>Definiciones</t>
  </si>
  <si>
    <t>Consulta repetida</t>
  </si>
  <si>
    <t>La misma persona vuelve a escribir por lo mismo: marcá Sí y actualizá la fila original. Las repetidas no se cuentan.</t>
  </si>
  <si>
    <t>Consulta cualificada</t>
  </si>
  <si>
    <t>La persona dice qué producto o necesidad tiene Y en qué zona recibe.</t>
  </si>
  <si>
    <t>Cotizada</t>
  </si>
  <si>
    <t>Le mandaste precio final con envío.</t>
  </si>
  <si>
    <t>Pedido confirmado</t>
  </si>
  <si>
    <t>La persona confirmó que lo compra. Todavía no es plata.</t>
  </si>
  <si>
    <t>Cobrado</t>
  </si>
  <si>
    <t>El pago entró. Solo aquí se anota el monto en colones.</t>
  </si>
  <si>
    <t>Venta neta</t>
  </si>
  <si>
    <t>Cobrado menos devoluciones y descuentos. No se calcula en este archivo: si hubo devolución, escribí DEVOLUCIÓN y el monto en la nota, sin borrar el cobro.</t>
  </si>
  <si>
    <t>Cómo leer</t>
  </si>
  <si>
    <t>NO CALCULABLE</t>
  </si>
  <si>
    <t>La división no se puede hacer porque abajo hay 0 o nada. No es 0 %.</t>
  </si>
  <si>
    <t>SIN PAUTA</t>
  </si>
  <si>
    <t>Ese código no tiene inversión escrita, así que no hay costo por consulta.</t>
  </si>
  <si>
    <t>Cualificadas / alcance</t>
  </si>
  <si>
    <t>Solo se calcula con alcance escrito y mayor que 0. Si no, dice NO CALCULABLE y se miran los números absolutos junto al alcance que sí se conoce. Más consultas pueden venir de más alcance y no de un mejor video.</t>
  </si>
  <si>
    <t>Prueba A</t>
  </si>
  <si>
    <t>Compara GAME1 y GAME2 con la misma ventana de días desde que se publicó cada uno. Las demás piezas salen en días distintos: no se comparan con el cuadro general.</t>
  </si>
  <si>
    <t>Producto ganador</t>
  </si>
  <si>
    <t>Con pocas consultas no se declara ganador. Si hubo falta de stock, cambio de precio o GAME1 y GAME2 salieron en canales u horas distintas, la comparación no vale: se extiende o se repite.</t>
  </si>
  <si>
    <t>Formatos</t>
  </si>
  <si>
    <t>Fechas</t>
  </si>
  <si>
    <t>dd/mm/aaaa. Revisá que el día y el mes queden en su lugar.</t>
  </si>
  <si>
    <t>Montos</t>
  </si>
  <si>
    <t>Solo números, en colones, sin el símbolo ₡ (el formato lo pone).</t>
  </si>
  <si>
    <t>Minutos</t>
  </si>
  <si>
    <t>Número entero: minutos desde que escribió hasta tu primera respuesta.</t>
  </si>
  <si>
    <t>Código</t>
  </si>
  <si>
    <t>Producto</t>
  </si>
  <si>
    <t>Estado de la ficha</t>
  </si>
  <si>
    <t>Campos listos (de 16)</t>
  </si>
  <si>
    <t>1. Marca</t>
  </si>
  <si>
    <t>2. Modelo exacto</t>
  </si>
  <si>
    <t>3. Foto o video propio disponible</t>
  </si>
  <si>
    <t>4. Precio vigente (₡)</t>
  </si>
  <si>
    <t>5. Costo unitario (₡) · CONFIDENCIAL</t>
  </si>
  <si>
    <t>6. Stock (unidades)</t>
  </si>
  <si>
    <t>7. Compatibilidad comprobada (con qué y cómo)</t>
  </si>
  <si>
    <t>8. Características comprobadas (conexión, iluminación, botones…)</t>
  </si>
  <si>
    <t>9. Garantía: plazo</t>
  </si>
  <si>
    <t>10. Garantía: quién la da</t>
  </si>
  <si>
    <t>11. Entrega: zonas</t>
  </si>
  <si>
    <t>12. Entrega: costo (₡)</t>
  </si>
  <si>
    <t>13. Entrega: plazo</t>
  </si>
  <si>
    <t>14. Origen / autenticidad</t>
  </si>
  <si>
    <t>15. Contenido incluido y permisos de gameplay o música (RETRO)</t>
  </si>
  <si>
    <t>16. Quién aprueba los claims</t>
  </si>
  <si>
    <t>Valor</t>
  </si>
  <si>
    <t>Fuente / cómo se comprobó</t>
  </si>
  <si>
    <t>Fecha</t>
  </si>
  <si>
    <t>¿Verificado?</t>
  </si>
  <si>
    <t>GAME</t>
  </si>
  <si>
    <t>Audífonos gaming (mismo SKU para GAME1 y GAME2)</t>
  </si>
  <si>
    <t>RETRO</t>
  </si>
  <si>
    <t>Consola portátil retro (RETRO1)</t>
  </si>
  <si>
    <t>RGB</t>
  </si>
  <si>
    <t>Mouse o periférico gaming, o accesorio sustituto validado (RGB1)</t>
  </si>
  <si>
    <t>Regla: ningún claim entra a un guion hasta que su campo diga ¿Verificado? = Sí. GAME1 y GAME2 usan la misma fila GAME. El costo unitario es confidencial.</t>
  </si>
  <si>
    <t>N.º de consulta</t>
  </si>
  <si>
    <t>Canal de origen (dónde nos vio)</t>
  </si>
  <si>
    <t>Código de pieza</t>
  </si>
  <si>
    <t>Producto consultado</t>
  </si>
  <si>
    <t>Zona</t>
  </si>
  <si>
    <t>¿Consulta repetida?</t>
  </si>
  <si>
    <t>Cualificada</t>
  </si>
  <si>
    <t>Monto cobrado (₡)</t>
  </si>
  <si>
    <t>Minutos hasta la primera respuesta</t>
  </si>
  <si>
    <t>Objeción principal</t>
  </si>
  <si>
    <t>Nota breve (sin datos personales)</t>
  </si>
  <si>
    <t>Resumen de la prueba · El Tilichero</t>
  </si>
  <si>
    <t>Cuenta solo consultas únicas (¿Consulta repetida? distinto de Sí) con fecha dentro del periodo. Amarillo = llenar a mano; gris = se calcula solo.</t>
  </si>
  <si>
    <t>Desde</t>
  </si>
  <si>
    <t>Vacía = desde el inicio del registro.</t>
  </si>
  <si>
    <t>Hasta</t>
  </si>
  <si>
    <t>Vacía = hasta el final del registro. La pauta de abajo debe ser la de ESTAS mismas fechas.</t>
  </si>
  <si>
    <t>Estado del registro</t>
  </si>
  <si>
    <t>Embudo por código de pieza</t>
  </si>
  <si>
    <t>Consultas únicas</t>
  </si>
  <si>
    <t>Cualificadas</t>
  </si>
  <si>
    <t>Cotizaciones</t>
  </si>
  <si>
    <t>Pedidos confirmados</t>
  </si>
  <si>
    <t>Cobrados</t>
  </si>
  <si>
    <t>Ingresos cobrados (₡)</t>
  </si>
  <si>
    <t>Inversión en pauta (₡) · escribir a mano</t>
  </si>
  <si>
    <t>Cualificadas / consultas</t>
  </si>
  <si>
    <t>Pedidos / cualificadas</t>
  </si>
  <si>
    <t>Costo por consulta cualificada (₡)</t>
  </si>
  <si>
    <t>GAME1</t>
  </si>
  <si>
    <t>GAME2</t>
  </si>
  <si>
    <t>No aplica</t>
  </si>
  <si>
    <t>Total</t>
  </si>
  <si>
    <t>NO CALCULABLE = el denominador es 0 o está vacío; no significa 0 %. SIN PAUTA = no hay inversión escrita.</t>
  </si>
  <si>
    <t>Ingresos cobrados no es venta neta: faltan devoluciones, descuentos, costo del producto y envío.</t>
  </si>
  <si>
    <t>Las piezas salen en días distintos: este cuadro suma, no compara piezas. GAME1 frente a GAME2 se mira en el bloque «Prueba A».</t>
  </si>
  <si>
    <t>Cualificadas / alcance usa el bloque de alcance de abajo (mismo periodo Desde/Hasta). Sin alcance: NO CALCULABLE, y se miran los volúmenes absolutos.</t>
  </si>
  <si>
    <t>Alcance por pieza y plataforma (de Insights, escribir a mano)</t>
  </si>
  <si>
    <t>Tiene que ser del MISMO periodo que Desde/Hasta: leé el alcance el día «Hasta». Anotá cuentas o personas alcanzadas, no reproducciones.</t>
  </si>
  <si>
    <t>Solo números totales, sin datos de personas. Dejá vacía la plataforma donde la pieza no se publicó. La suma puede contar dos veces a quien vio la pieza en dos plataformas.</t>
  </si>
  <si>
    <t>Pieza</t>
  </si>
  <si>
    <t>Instagram</t>
  </si>
  <si>
    <t>Facebook</t>
  </si>
  <si>
    <t>TikTok</t>
  </si>
  <si>
    <t>Leído el (fecha)</t>
  </si>
  <si>
    <t>Embudo por canal de origen</t>
  </si>
  <si>
    <t>Mismo filtro Desde/Hasta y misma regla de repetidas que el embudo por código. Cuenta las consultas con código de pieza (OTRO y SIN CODIGO incluidos).</t>
  </si>
  <si>
    <t>La pauta de este cuadro y la del embudo por código NO se suman: es el mismo gasto visto de dos formas. Anotala en un solo lugar:</t>
  </si>
  <si>
    <t>si el anuncio usa una pieza con código (GAME1, GAME2, RETRO1, RGB1), en el embudo por código; si no tiene código (por ejemplo, un anuncio con foto), aquí en «Anuncio pagado (Meta)».</t>
  </si>
  <si>
    <t>Recomendación</t>
  </si>
  <si>
    <t>Otro</t>
  </si>
  <si>
    <t>No dijo</t>
  </si>
  <si>
    <t>Consultas del periodo con código pero sin canal anotado (no entran en este cuadro)</t>
  </si>
  <si>
    <t>Condiciones de la prueba (contestar al revisar)</t>
  </si>
  <si>
    <t>¿Algún producto de la prueba estuvo sin stock en algún momento del periodo?</t>
  </si>
  <si>
    <t>¿Cambiaron el precio, la oferta o el costo de envío durante el periodo?</t>
  </si>
  <si>
    <t>¿GAME1 y GAME2 salieron en el mismo canal y a la misma hora del día?</t>
  </si>
  <si>
    <t>¿GAME1 y GAME2 tuvieron la misma inversión en pauta (o ninguna de las dos)?</t>
  </si>
  <si>
    <t>Lectura</t>
  </si>
  <si>
    <t>Prueba A: GAME1 frente a GAME2 con ventanas iguales</t>
  </si>
  <si>
    <t>Cada pieza se cuenta desde su fecha de publicación hasta 3 días después, inclusive (aproxima las 72 h del plan con fechas sin hora). Este bloque no usa Desde/Hasta.</t>
  </si>
  <si>
    <t>El alcance de esta tabla es el de cada pieza leído en Insights el día «Cuenta hasta». Si falta el de una de las dos, la lectura es solo descriptiva.</t>
  </si>
  <si>
    <t>Fecha de publicación · escribir a mano</t>
  </si>
  <si>
    <t>Cuenta hasta</t>
  </si>
  <si>
    <t>Alcance en su ventana (Insights) · escribir a mano</t>
  </si>
  <si>
    <t>GAME2 − GAME1</t>
  </si>
  <si>
    <t>Zona de las consultas únicas</t>
  </si>
  <si>
    <t>GAM</t>
  </si>
  <si>
    <t>Fuera de GAM</t>
  </si>
  <si>
    <t>Sin dato</t>
  </si>
  <si>
    <t>Objeción principal de las consultas únicas</t>
  </si>
  <si>
    <t>Precio</t>
  </si>
  <si>
    <t>Compatibilidad</t>
  </si>
  <si>
    <t>Envío</t>
  </si>
  <si>
    <t>Garantía</t>
  </si>
  <si>
    <t>Confianza</t>
  </si>
  <si>
    <t>Stock</t>
  </si>
  <si>
    <t>Otra</t>
  </si>
  <si>
    <t>Sin objeción anotada</t>
  </si>
  <si>
    <t>Tiempo hasta la primera respuesta (consultas únicas)</t>
  </si>
  <si>
    <t>Consultas con minutos anotados</t>
  </si>
  <si>
    <t>Minutos sumados</t>
  </si>
  <si>
    <t>Promedio de minutos</t>
  </si>
  <si>
    <t>Antes de prometer un tiempo de respuesta, medilo aquí. Un promedio alto puede venir de mensajes de noche: revisá también el horario.</t>
  </si>
  <si>
    <t>Control del registro (todas las filas, sin filtro de fechas)</t>
  </si>
  <si>
    <t>Filas con fecha pero sin código de pieza</t>
  </si>
  <si>
    <t>Filas con código pero sin fecha (no entran al resumen)</t>
  </si>
  <si>
    <t>Cualificada = Sí sin zona GAM o Fuera de GAM</t>
  </si>
  <si>
    <t>Pedido confirmado = Sí sin Cualificada = Sí</t>
  </si>
  <si>
    <t>Cobrado = Sí sin Pedido confirmado = Sí</t>
  </si>
  <si>
    <t>Cobrado = Sí sin monto</t>
  </si>
  <si>
    <t>Monto anotado sin Cobrado = Sí</t>
  </si>
  <si>
    <t>Filas con código pero sin canal de origen</t>
  </si>
  <si>
    <t>Consultas marcadas como repetidas (no se cuentan en ningún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</si>
</sst>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&quot;₡&quot;#,##0"/>
    <numFmt numFmtId="166" formatCode="0.0%"/>
    <numFmt numFmtId="167" formatCode="0;\-0;0"/>
    <numFmt numFmtId="168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1"/>
      <color rgb="FF1F386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C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C00000"/>
      </patternFill>
    </fill>
    <fill>
      <patternFill patternType="solid">
        <fgColor rgb="FFBF8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164" fontId="5" fillId="2" borderId="1" xfId="0" applyNumberFormat="1" applyFont="1" applyFill="1" applyBorder="1" applyAlignment="1">
      <alignment vertical="top" wrapText="1"/>
    </xf>
    <xf numFmtId="165" fontId="5" fillId="2" borderId="1" xfId="0" applyNumberFormat="1" applyFont="1" applyFill="1" applyBorder="1" applyAlignment="1">
      <alignment vertical="top" wrapText="1"/>
    </xf>
    <xf numFmtId="1" fontId="5" fillId="2" borderId="1" xfId="0" applyNumberFormat="1" applyFont="1" applyFill="1" applyBorder="1" applyAlignment="1">
      <alignment vertical="top" wrapText="1"/>
    </xf>
    <xf numFmtId="0" fontId="7" fillId="0" borderId="0" xfId="0" applyFont="1"/>
    <xf numFmtId="1" fontId="5" fillId="3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165" fontId="5" fillId="2" borderId="1" xfId="0" applyNumberFormat="1" applyFont="1" applyFill="1" applyBorder="1" applyAlignment="1">
      <alignment vertical="top"/>
    </xf>
    <xf numFmtId="1" fontId="5" fillId="2" borderId="1" xfId="0" applyNumberFormat="1" applyFont="1" applyFill="1" applyBorder="1" applyAlignment="1">
      <alignment vertical="top"/>
    </xf>
    <xf numFmtId="0" fontId="4" fillId="0" borderId="1" xfId="0" applyFont="1" applyBorder="1"/>
    <xf numFmtId="164" fontId="5" fillId="2" borderId="1" xfId="0" applyNumberFormat="1" applyFont="1" applyFill="1" applyBorder="1"/>
    <xf numFmtId="0" fontId="6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" fontId="5" fillId="3" borderId="1" xfId="0" applyNumberFormat="1" applyFont="1" applyFill="1" applyBorder="1"/>
    <xf numFmtId="165" fontId="5" fillId="3" borderId="1" xfId="0" applyNumberFormat="1" applyFont="1" applyFill="1" applyBorder="1"/>
    <xf numFmtId="165" fontId="5" fillId="2" borderId="1" xfId="0" applyNumberFormat="1" applyFont="1" applyFill="1" applyBorder="1"/>
    <xf numFmtId="166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4" fillId="9" borderId="1" xfId="0" applyFont="1" applyFill="1" applyBorder="1"/>
    <xf numFmtId="1" fontId="4" fillId="9" borderId="1" xfId="0" applyNumberFormat="1" applyFont="1" applyFill="1" applyBorder="1"/>
    <xf numFmtId="165" fontId="4" fillId="9" borderId="1" xfId="0" applyNumberFormat="1" applyFont="1" applyFill="1" applyBorder="1"/>
    <xf numFmtId="165" fontId="4" fillId="9" borderId="1" xfId="0" applyNumberFormat="1" applyFont="1" applyFill="1" applyBorder="1" applyAlignment="1">
      <alignment horizontal="right" vertical="center"/>
    </xf>
    <xf numFmtId="166" fontId="4" fillId="9" borderId="1" xfId="0" applyNumberFormat="1" applyFont="1" applyFill="1" applyBorder="1" applyAlignment="1">
      <alignment horizontal="right" vertical="center"/>
    </xf>
    <xf numFmtId="10" fontId="4" fillId="9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/>
    <xf numFmtId="3" fontId="4" fillId="3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1" fontId="4" fillId="3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/>
    <xf numFmtId="167" fontId="4" fillId="9" borderId="1" xfId="0" applyNumberFormat="1" applyFont="1" applyFill="1" applyBorder="1"/>
    <xf numFmtId="168" fontId="5" fillId="3" borderId="1" xfId="0" applyNumberFormat="1" applyFont="1" applyFill="1" applyBorder="1" applyAlignment="1">
      <alignment horizontal="right" vertical="center"/>
    </xf>
    <xf numFmtId="168" fontId="4" fillId="9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/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8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b/>
        <color rgb="FFC00000"/>
        <name val="Arial"/>
      </font>
      <fill>
        <patternFill patternType="solid">
          <fgColor rgb="FFFFC7CE"/>
        </patternFill>
      </fill>
    </dxf>
    <dxf>
      <font>
        <i/>
        <color rgb="FF808080"/>
        <name val="Arial"/>
      </font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9"/>
  <sheetViews>
    <sheetView showGridLines="0" tabSelected="1" workbookViewId="0"/>
  </sheetViews>
  <sheetFormatPr baseColWidth="10" defaultColWidth="9.140625" defaultRowHeight="15" x14ac:dyDescent="0.25"/>
  <cols>
    <col min="1" max="1" width="3" customWidth="1"/>
    <col min="2" max="2" width="26" customWidth="1"/>
    <col min="3" max="3" width="92" customWidth="1"/>
  </cols>
  <sheetData>
    <row r="1" spans="2:3" ht="18" x14ac:dyDescent="0.25">
      <c r="B1" s="1" t="s">
        <v>0</v>
      </c>
    </row>
    <row r="2" spans="2:3" x14ac:dyDescent="0.25">
      <c r="B2" s="2" t="s">
        <v>1</v>
      </c>
    </row>
    <row r="5" spans="2:3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6" t="s">
        <v>5</v>
      </c>
      <c r="C7" s="5" t="s">
        <v>6</v>
      </c>
    </row>
    <row r="8" spans="2:3" x14ac:dyDescent="0.25">
      <c r="B8" s="7" t="s">
        <v>7</v>
      </c>
      <c r="C8" s="5" t="s">
        <v>8</v>
      </c>
    </row>
    <row r="10" spans="2:3" x14ac:dyDescent="0.25">
      <c r="B10" s="3" t="s">
        <v>9</v>
      </c>
    </row>
    <row r="11" spans="2:3" ht="25.5" x14ac:dyDescent="0.25">
      <c r="B11" s="8" t="s">
        <v>10</v>
      </c>
      <c r="C11" s="5" t="s">
        <v>11</v>
      </c>
    </row>
    <row r="12" spans="2:3" ht="25.5" x14ac:dyDescent="0.25">
      <c r="B12" s="8" t="s">
        <v>12</v>
      </c>
      <c r="C12" s="5" t="s">
        <v>13</v>
      </c>
    </row>
    <row r="13" spans="2:3" ht="38.25" x14ac:dyDescent="0.25">
      <c r="B13" s="8" t="s">
        <v>14</v>
      </c>
      <c r="C13" s="5" t="s">
        <v>15</v>
      </c>
    </row>
    <row r="15" spans="2:3" x14ac:dyDescent="0.25">
      <c r="B15" s="3" t="s">
        <v>16</v>
      </c>
    </row>
    <row r="16" spans="2:3" x14ac:dyDescent="0.25">
      <c r="B16" s="8" t="s">
        <v>17</v>
      </c>
      <c r="C16" s="5" t="s">
        <v>18</v>
      </c>
    </row>
    <row r="17" spans="2:3" x14ac:dyDescent="0.25">
      <c r="B17" s="8" t="s">
        <v>19</v>
      </c>
      <c r="C17" s="5" t="s">
        <v>20</v>
      </c>
    </row>
    <row r="18" spans="2:3" x14ac:dyDescent="0.25">
      <c r="B18" s="8" t="s">
        <v>21</v>
      </c>
      <c r="C18" s="5" t="s">
        <v>22</v>
      </c>
    </row>
    <row r="19" spans="2:3" x14ac:dyDescent="0.25">
      <c r="B19" s="8" t="s">
        <v>23</v>
      </c>
      <c r="C19" s="5" t="s">
        <v>24</v>
      </c>
    </row>
    <row r="20" spans="2:3" ht="25.5" x14ac:dyDescent="0.25">
      <c r="B20" s="8" t="s">
        <v>25</v>
      </c>
      <c r="C20" s="5" t="s">
        <v>26</v>
      </c>
    </row>
    <row r="21" spans="2:3" ht="38.25" x14ac:dyDescent="0.25">
      <c r="B21" s="8" t="s">
        <v>27</v>
      </c>
      <c r="C21" s="5" t="s">
        <v>28</v>
      </c>
    </row>
    <row r="23" spans="2:3" x14ac:dyDescent="0.25">
      <c r="B23" s="3" t="s">
        <v>29</v>
      </c>
    </row>
    <row r="24" spans="2:3" ht="25.5" x14ac:dyDescent="0.25">
      <c r="B24" s="8" t="s">
        <v>30</v>
      </c>
      <c r="C24" s="5" t="s">
        <v>31</v>
      </c>
    </row>
    <row r="25" spans="2:3" x14ac:dyDescent="0.25">
      <c r="B25" s="8" t="s">
        <v>32</v>
      </c>
      <c r="C25" s="5" t="s">
        <v>33</v>
      </c>
    </row>
    <row r="26" spans="2:3" x14ac:dyDescent="0.25">
      <c r="B26" s="8" t="s">
        <v>34</v>
      </c>
      <c r="C26" s="5" t="s">
        <v>35</v>
      </c>
    </row>
    <row r="27" spans="2:3" ht="25.5" x14ac:dyDescent="0.25">
      <c r="B27" s="8" t="s">
        <v>36</v>
      </c>
      <c r="C27" s="5" t="s">
        <v>37</v>
      </c>
    </row>
    <row r="28" spans="2:3" x14ac:dyDescent="0.25">
      <c r="B28" s="8" t="s">
        <v>38</v>
      </c>
      <c r="C28" s="5" t="s">
        <v>39</v>
      </c>
    </row>
    <row r="29" spans="2:3" x14ac:dyDescent="0.25">
      <c r="B29" s="8" t="s">
        <v>40</v>
      </c>
      <c r="C29" s="5" t="s">
        <v>41</v>
      </c>
    </row>
    <row r="30" spans="2:3" ht="25.5" x14ac:dyDescent="0.25">
      <c r="B30" s="8" t="s">
        <v>42</v>
      </c>
      <c r="C30" s="5" t="s">
        <v>43</v>
      </c>
    </row>
    <row r="31" spans="2:3" ht="25.5" x14ac:dyDescent="0.25">
      <c r="B31" s="8" t="s">
        <v>44</v>
      </c>
      <c r="C31" s="5" t="s">
        <v>45</v>
      </c>
    </row>
    <row r="33" spans="2:3" x14ac:dyDescent="0.25">
      <c r="B33" s="3" t="s">
        <v>46</v>
      </c>
    </row>
    <row r="34" spans="2:3" ht="25.5" x14ac:dyDescent="0.25">
      <c r="B34" s="8" t="s">
        <v>47</v>
      </c>
      <c r="C34" s="5" t="s">
        <v>48</v>
      </c>
    </row>
    <row r="35" spans="2:3" ht="38.25" x14ac:dyDescent="0.25">
      <c r="B35" s="8" t="s">
        <v>49</v>
      </c>
      <c r="C35" s="5" t="s">
        <v>50</v>
      </c>
    </row>
    <row r="36" spans="2:3" ht="25.5" x14ac:dyDescent="0.25">
      <c r="B36" s="8" t="s">
        <v>51</v>
      </c>
      <c r="C36" s="5" t="s">
        <v>52</v>
      </c>
    </row>
    <row r="38" spans="2:3" x14ac:dyDescent="0.25">
      <c r="B38" s="3" t="s">
        <v>53</v>
      </c>
    </row>
    <row r="39" spans="2:3" ht="25.5" x14ac:dyDescent="0.25">
      <c r="B39" s="8" t="s">
        <v>54</v>
      </c>
      <c r="C39" s="5" t="s">
        <v>55</v>
      </c>
    </row>
    <row r="41" spans="2:3" x14ac:dyDescent="0.25">
      <c r="B41" s="3" t="s">
        <v>56</v>
      </c>
    </row>
    <row r="42" spans="2:3" ht="25.5" x14ac:dyDescent="0.25">
      <c r="B42" s="8" t="s">
        <v>57</v>
      </c>
      <c r="C42" s="5" t="s">
        <v>58</v>
      </c>
    </row>
    <row r="43" spans="2:3" x14ac:dyDescent="0.25">
      <c r="B43" s="8" t="s">
        <v>59</v>
      </c>
      <c r="C43" s="5" t="s">
        <v>60</v>
      </c>
    </row>
    <row r="44" spans="2:3" x14ac:dyDescent="0.25">
      <c r="B44" s="8" t="s">
        <v>61</v>
      </c>
      <c r="C44" s="5" t="s">
        <v>62</v>
      </c>
    </row>
    <row r="45" spans="2:3" x14ac:dyDescent="0.25">
      <c r="B45" s="8" t="s">
        <v>63</v>
      </c>
      <c r="C45" s="5" t="s">
        <v>64</v>
      </c>
    </row>
    <row r="46" spans="2:3" x14ac:dyDescent="0.25">
      <c r="B46" s="8" t="s">
        <v>65</v>
      </c>
      <c r="C46" s="5" t="s">
        <v>66</v>
      </c>
    </row>
    <row r="47" spans="2:3" ht="25.5" x14ac:dyDescent="0.25">
      <c r="B47" s="8" t="s">
        <v>67</v>
      </c>
      <c r="C47" s="5" t="s">
        <v>68</v>
      </c>
    </row>
    <row r="49" spans="2:3" x14ac:dyDescent="0.25">
      <c r="B49" s="3" t="s">
        <v>69</v>
      </c>
    </row>
    <row r="50" spans="2:3" x14ac:dyDescent="0.25">
      <c r="B50" s="8" t="s">
        <v>70</v>
      </c>
      <c r="C50" s="5" t="s">
        <v>71</v>
      </c>
    </row>
    <row r="51" spans="2:3" x14ac:dyDescent="0.25">
      <c r="B51" s="8" t="s">
        <v>72</v>
      </c>
      <c r="C51" s="5" t="s">
        <v>73</v>
      </c>
    </row>
    <row r="52" spans="2:3" ht="38.25" x14ac:dyDescent="0.25">
      <c r="B52" s="8" t="s">
        <v>74</v>
      </c>
      <c r="C52" s="5" t="s">
        <v>75</v>
      </c>
    </row>
    <row r="53" spans="2:3" ht="25.5" x14ac:dyDescent="0.25">
      <c r="B53" s="8" t="s">
        <v>76</v>
      </c>
      <c r="C53" s="5" t="s">
        <v>77</v>
      </c>
    </row>
    <row r="54" spans="2:3" ht="25.5" x14ac:dyDescent="0.25">
      <c r="B54" s="8" t="s">
        <v>78</v>
      </c>
      <c r="C54" s="5" t="s">
        <v>79</v>
      </c>
    </row>
    <row r="56" spans="2:3" x14ac:dyDescent="0.25">
      <c r="B56" s="3" t="s">
        <v>80</v>
      </c>
    </row>
    <row r="57" spans="2:3" x14ac:dyDescent="0.25">
      <c r="B57" s="8" t="s">
        <v>81</v>
      </c>
      <c r="C57" s="5" t="s">
        <v>82</v>
      </c>
    </row>
    <row r="58" spans="2:3" x14ac:dyDescent="0.25">
      <c r="B58" s="8" t="s">
        <v>83</v>
      </c>
      <c r="C58" s="5" t="s">
        <v>84</v>
      </c>
    </row>
    <row r="59" spans="2:3" x14ac:dyDescent="0.25">
      <c r="B59" s="8" t="s">
        <v>85</v>
      </c>
      <c r="C59" s="5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7"/>
  <sheetViews>
    <sheetView workbookViewId="0">
      <pane xSplit="4" ySplit="2" topLeftCell="E3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30" customWidth="1"/>
    <col min="3" max="3" width="24" customWidth="1"/>
    <col min="4" max="4" width="11" customWidth="1"/>
    <col min="5" max="5" width="22" customWidth="1"/>
    <col min="6" max="6" width="28" customWidth="1"/>
    <col min="7" max="8" width="12" customWidth="1"/>
    <col min="9" max="9" width="22" customWidth="1"/>
    <col min="10" max="10" width="28" customWidth="1"/>
    <col min="11" max="12" width="12" customWidth="1"/>
    <col min="13" max="13" width="22" customWidth="1"/>
    <col min="14" max="14" width="28" customWidth="1"/>
    <col min="15" max="16" width="12" customWidth="1"/>
    <col min="17" max="17" width="22" customWidth="1"/>
    <col min="18" max="18" width="28" customWidth="1"/>
    <col min="19" max="20" width="12" customWidth="1"/>
    <col min="21" max="21" width="22" customWidth="1"/>
    <col min="22" max="22" width="28" customWidth="1"/>
    <col min="23" max="24" width="12" customWidth="1"/>
    <col min="25" max="25" width="22" customWidth="1"/>
    <col min="26" max="26" width="28" customWidth="1"/>
    <col min="27" max="28" width="12" customWidth="1"/>
    <col min="29" max="29" width="22" customWidth="1"/>
    <col min="30" max="30" width="28" customWidth="1"/>
    <col min="31" max="32" width="12" customWidth="1"/>
    <col min="33" max="33" width="22" customWidth="1"/>
    <col min="34" max="34" width="28" customWidth="1"/>
    <col min="35" max="36" width="12" customWidth="1"/>
    <col min="37" max="37" width="22" customWidth="1"/>
    <col min="38" max="38" width="28" customWidth="1"/>
    <col min="39" max="40" width="12" customWidth="1"/>
    <col min="41" max="41" width="22" customWidth="1"/>
    <col min="42" max="42" width="28" customWidth="1"/>
    <col min="43" max="44" width="12" customWidth="1"/>
    <col min="45" max="45" width="22" customWidth="1"/>
    <col min="46" max="46" width="28" customWidth="1"/>
    <col min="47" max="48" width="12" customWidth="1"/>
    <col min="49" max="49" width="22" customWidth="1"/>
    <col min="50" max="50" width="28" customWidth="1"/>
    <col min="51" max="52" width="12" customWidth="1"/>
    <col min="53" max="53" width="22" customWidth="1"/>
    <col min="54" max="54" width="28" customWidth="1"/>
    <col min="55" max="56" width="12" customWidth="1"/>
    <col min="57" max="57" width="22" customWidth="1"/>
    <col min="58" max="58" width="28" customWidth="1"/>
    <col min="59" max="60" width="12" customWidth="1"/>
    <col min="61" max="61" width="22" customWidth="1"/>
    <col min="62" max="62" width="28" customWidth="1"/>
    <col min="63" max="64" width="12" customWidth="1"/>
    <col min="65" max="65" width="22" customWidth="1"/>
    <col min="66" max="66" width="28" customWidth="1"/>
    <col min="67" max="68" width="12" customWidth="1"/>
  </cols>
  <sheetData>
    <row r="1" spans="1:68" ht="42" customHeight="1" x14ac:dyDescent="0.25">
      <c r="A1" s="54" t="s">
        <v>87</v>
      </c>
      <c r="B1" s="54" t="s">
        <v>88</v>
      </c>
      <c r="C1" s="54" t="s">
        <v>89</v>
      </c>
      <c r="D1" s="54" t="s">
        <v>90</v>
      </c>
      <c r="E1" s="54" t="s">
        <v>91</v>
      </c>
      <c r="F1" s="53"/>
      <c r="G1" s="53"/>
      <c r="H1" s="53"/>
      <c r="I1" s="52" t="s">
        <v>92</v>
      </c>
      <c r="J1" s="53"/>
      <c r="K1" s="53"/>
      <c r="L1" s="53"/>
      <c r="M1" s="54" t="s">
        <v>93</v>
      </c>
      <c r="N1" s="53"/>
      <c r="O1" s="53"/>
      <c r="P1" s="53"/>
      <c r="Q1" s="52" t="s">
        <v>94</v>
      </c>
      <c r="R1" s="53"/>
      <c r="S1" s="53"/>
      <c r="T1" s="53"/>
      <c r="U1" s="55" t="s">
        <v>95</v>
      </c>
      <c r="V1" s="53"/>
      <c r="W1" s="53"/>
      <c r="X1" s="53"/>
      <c r="Y1" s="52" t="s">
        <v>96</v>
      </c>
      <c r="Z1" s="53"/>
      <c r="AA1" s="53"/>
      <c r="AB1" s="53"/>
      <c r="AC1" s="54" t="s">
        <v>97</v>
      </c>
      <c r="AD1" s="53"/>
      <c r="AE1" s="53"/>
      <c r="AF1" s="53"/>
      <c r="AG1" s="52" t="s">
        <v>98</v>
      </c>
      <c r="AH1" s="53"/>
      <c r="AI1" s="53"/>
      <c r="AJ1" s="53"/>
      <c r="AK1" s="54" t="s">
        <v>99</v>
      </c>
      <c r="AL1" s="53"/>
      <c r="AM1" s="53"/>
      <c r="AN1" s="53"/>
      <c r="AO1" s="52" t="s">
        <v>100</v>
      </c>
      <c r="AP1" s="53"/>
      <c r="AQ1" s="53"/>
      <c r="AR1" s="53"/>
      <c r="AS1" s="54" t="s">
        <v>101</v>
      </c>
      <c r="AT1" s="53"/>
      <c r="AU1" s="53"/>
      <c r="AV1" s="53"/>
      <c r="AW1" s="52" t="s">
        <v>102</v>
      </c>
      <c r="AX1" s="53"/>
      <c r="AY1" s="53"/>
      <c r="AZ1" s="53"/>
      <c r="BA1" s="54" t="s">
        <v>103</v>
      </c>
      <c r="BB1" s="53"/>
      <c r="BC1" s="53"/>
      <c r="BD1" s="53"/>
      <c r="BE1" s="52" t="s">
        <v>104</v>
      </c>
      <c r="BF1" s="53"/>
      <c r="BG1" s="53"/>
      <c r="BH1" s="53"/>
      <c r="BI1" s="54" t="s">
        <v>105</v>
      </c>
      <c r="BJ1" s="53"/>
      <c r="BK1" s="53"/>
      <c r="BL1" s="53"/>
      <c r="BM1" s="52" t="s">
        <v>106</v>
      </c>
      <c r="BN1" s="53"/>
      <c r="BO1" s="53"/>
      <c r="BP1" s="53"/>
    </row>
    <row r="2" spans="1:68" ht="30" customHeight="1" x14ac:dyDescent="0.25">
      <c r="A2" s="53"/>
      <c r="B2" s="53"/>
      <c r="C2" s="53"/>
      <c r="D2" s="53"/>
      <c r="E2" s="9" t="s">
        <v>107</v>
      </c>
      <c r="F2" s="9" t="s">
        <v>108</v>
      </c>
      <c r="G2" s="9" t="s">
        <v>109</v>
      </c>
      <c r="H2" s="9" t="s">
        <v>110</v>
      </c>
      <c r="I2" s="10" t="s">
        <v>107</v>
      </c>
      <c r="J2" s="10" t="s">
        <v>108</v>
      </c>
      <c r="K2" s="10" t="s">
        <v>109</v>
      </c>
      <c r="L2" s="10" t="s">
        <v>110</v>
      </c>
      <c r="M2" s="9" t="s">
        <v>107</v>
      </c>
      <c r="N2" s="9" t="s">
        <v>108</v>
      </c>
      <c r="O2" s="9" t="s">
        <v>109</v>
      </c>
      <c r="P2" s="9" t="s">
        <v>110</v>
      </c>
      <c r="Q2" s="10" t="s">
        <v>107</v>
      </c>
      <c r="R2" s="10" t="s">
        <v>108</v>
      </c>
      <c r="S2" s="10" t="s">
        <v>109</v>
      </c>
      <c r="T2" s="10" t="s">
        <v>110</v>
      </c>
      <c r="U2" s="11" t="s">
        <v>107</v>
      </c>
      <c r="V2" s="11" t="s">
        <v>108</v>
      </c>
      <c r="W2" s="11" t="s">
        <v>109</v>
      </c>
      <c r="X2" s="11" t="s">
        <v>110</v>
      </c>
      <c r="Y2" s="10" t="s">
        <v>107</v>
      </c>
      <c r="Z2" s="10" t="s">
        <v>108</v>
      </c>
      <c r="AA2" s="10" t="s">
        <v>109</v>
      </c>
      <c r="AB2" s="10" t="s">
        <v>110</v>
      </c>
      <c r="AC2" s="9" t="s">
        <v>107</v>
      </c>
      <c r="AD2" s="9" t="s">
        <v>108</v>
      </c>
      <c r="AE2" s="9" t="s">
        <v>109</v>
      </c>
      <c r="AF2" s="9" t="s">
        <v>110</v>
      </c>
      <c r="AG2" s="10" t="s">
        <v>107</v>
      </c>
      <c r="AH2" s="10" t="s">
        <v>108</v>
      </c>
      <c r="AI2" s="10" t="s">
        <v>109</v>
      </c>
      <c r="AJ2" s="10" t="s">
        <v>110</v>
      </c>
      <c r="AK2" s="9" t="s">
        <v>107</v>
      </c>
      <c r="AL2" s="9" t="s">
        <v>108</v>
      </c>
      <c r="AM2" s="9" t="s">
        <v>109</v>
      </c>
      <c r="AN2" s="9" t="s">
        <v>110</v>
      </c>
      <c r="AO2" s="10" t="s">
        <v>107</v>
      </c>
      <c r="AP2" s="10" t="s">
        <v>108</v>
      </c>
      <c r="AQ2" s="10" t="s">
        <v>109</v>
      </c>
      <c r="AR2" s="10" t="s">
        <v>110</v>
      </c>
      <c r="AS2" s="9" t="s">
        <v>107</v>
      </c>
      <c r="AT2" s="9" t="s">
        <v>108</v>
      </c>
      <c r="AU2" s="9" t="s">
        <v>109</v>
      </c>
      <c r="AV2" s="9" t="s">
        <v>110</v>
      </c>
      <c r="AW2" s="10" t="s">
        <v>107</v>
      </c>
      <c r="AX2" s="10" t="s">
        <v>108</v>
      </c>
      <c r="AY2" s="10" t="s">
        <v>109</v>
      </c>
      <c r="AZ2" s="10" t="s">
        <v>110</v>
      </c>
      <c r="BA2" s="9" t="s">
        <v>107</v>
      </c>
      <c r="BB2" s="9" t="s">
        <v>108</v>
      </c>
      <c r="BC2" s="9" t="s">
        <v>109</v>
      </c>
      <c r="BD2" s="9" t="s">
        <v>110</v>
      </c>
      <c r="BE2" s="10" t="s">
        <v>107</v>
      </c>
      <c r="BF2" s="10" t="s">
        <v>108</v>
      </c>
      <c r="BG2" s="10" t="s">
        <v>109</v>
      </c>
      <c r="BH2" s="10" t="s">
        <v>110</v>
      </c>
      <c r="BI2" s="9" t="s">
        <v>107</v>
      </c>
      <c r="BJ2" s="9" t="s">
        <v>108</v>
      </c>
      <c r="BK2" s="9" t="s">
        <v>109</v>
      </c>
      <c r="BL2" s="9" t="s">
        <v>110</v>
      </c>
      <c r="BM2" s="10" t="s">
        <v>107</v>
      </c>
      <c r="BN2" s="10" t="s">
        <v>108</v>
      </c>
      <c r="BO2" s="10" t="s">
        <v>109</v>
      </c>
      <c r="BP2" s="10" t="s">
        <v>110</v>
      </c>
    </row>
    <row r="3" spans="1:68" ht="48" customHeight="1" x14ac:dyDescent="0.25">
      <c r="A3" s="12" t="s">
        <v>111</v>
      </c>
      <c r="B3" s="13" t="s">
        <v>112</v>
      </c>
      <c r="C3" s="12" t="str">
        <f>IF(D3=16,"COMPLETA","INCOMPLETA: faltan "&amp;(16-D3)&amp;" campos")</f>
        <v>INCOMPLETA: faltan 16 campos</v>
      </c>
      <c r="D3" s="14">
        <f>SUMPRODUCT((MOD(COLUMN(E3:BP3)-COLUMN($E$3),4)=3)*((E3:BP3="Sí")+(E3:BP3="No aplica")))</f>
        <v>0</v>
      </c>
      <c r="E3" s="15"/>
      <c r="F3" s="15"/>
      <c r="G3" s="16"/>
      <c r="H3" s="15"/>
      <c r="I3" s="15"/>
      <c r="J3" s="15"/>
      <c r="K3" s="16"/>
      <c r="L3" s="15"/>
      <c r="M3" s="15"/>
      <c r="N3" s="15"/>
      <c r="O3" s="16"/>
      <c r="P3" s="15"/>
      <c r="Q3" s="17"/>
      <c r="R3" s="15"/>
      <c r="S3" s="16"/>
      <c r="T3" s="15"/>
      <c r="U3" s="17"/>
      <c r="V3" s="15"/>
      <c r="W3" s="16"/>
      <c r="X3" s="15"/>
      <c r="Y3" s="18"/>
      <c r="Z3" s="15"/>
      <c r="AA3" s="16"/>
      <c r="AB3" s="15"/>
      <c r="AC3" s="15"/>
      <c r="AD3" s="15"/>
      <c r="AE3" s="16"/>
      <c r="AF3" s="15"/>
      <c r="AG3" s="15"/>
      <c r="AH3" s="15"/>
      <c r="AI3" s="16"/>
      <c r="AJ3" s="15"/>
      <c r="AK3" s="15"/>
      <c r="AL3" s="15"/>
      <c r="AM3" s="16"/>
      <c r="AN3" s="15"/>
      <c r="AO3" s="15"/>
      <c r="AP3" s="15"/>
      <c r="AQ3" s="16"/>
      <c r="AR3" s="15"/>
      <c r="AS3" s="15"/>
      <c r="AT3" s="15"/>
      <c r="AU3" s="16"/>
      <c r="AV3" s="15"/>
      <c r="AW3" s="17"/>
      <c r="AX3" s="15"/>
      <c r="AY3" s="16"/>
      <c r="AZ3" s="15"/>
      <c r="BA3" s="15"/>
      <c r="BB3" s="15"/>
      <c r="BC3" s="16"/>
      <c r="BD3" s="15"/>
      <c r="BE3" s="15"/>
      <c r="BF3" s="15"/>
      <c r="BG3" s="16"/>
      <c r="BH3" s="15"/>
      <c r="BI3" s="15"/>
      <c r="BJ3" s="15"/>
      <c r="BK3" s="16"/>
      <c r="BL3" s="15"/>
      <c r="BM3" s="15"/>
      <c r="BN3" s="15"/>
      <c r="BO3" s="16"/>
      <c r="BP3" s="15"/>
    </row>
    <row r="4" spans="1:68" ht="48" customHeight="1" x14ac:dyDescent="0.25">
      <c r="A4" s="12" t="s">
        <v>113</v>
      </c>
      <c r="B4" s="13" t="s">
        <v>114</v>
      </c>
      <c r="C4" s="12" t="str">
        <f>IF(D4=16,"COMPLETA","INCOMPLETA: faltan "&amp;(16-D4)&amp;" campos")</f>
        <v>INCOMPLETA: faltan 16 campos</v>
      </c>
      <c r="D4" s="14">
        <f>SUMPRODUCT((MOD(COLUMN(E4:BP4)-COLUMN($E$4),4)=3)*((E4:BP4="Sí")+(E4:BP4="No aplica")))</f>
        <v>0</v>
      </c>
      <c r="E4" s="15"/>
      <c r="F4" s="15"/>
      <c r="G4" s="16"/>
      <c r="H4" s="15"/>
      <c r="I4" s="15"/>
      <c r="J4" s="15"/>
      <c r="K4" s="16"/>
      <c r="L4" s="15"/>
      <c r="M4" s="15"/>
      <c r="N4" s="15"/>
      <c r="O4" s="16"/>
      <c r="P4" s="15"/>
      <c r="Q4" s="17"/>
      <c r="R4" s="15"/>
      <c r="S4" s="16"/>
      <c r="T4" s="15"/>
      <c r="U4" s="17"/>
      <c r="V4" s="15"/>
      <c r="W4" s="16"/>
      <c r="X4" s="15"/>
      <c r="Y4" s="18"/>
      <c r="Z4" s="15"/>
      <c r="AA4" s="16"/>
      <c r="AB4" s="15"/>
      <c r="AC4" s="15"/>
      <c r="AD4" s="15"/>
      <c r="AE4" s="16"/>
      <c r="AF4" s="15"/>
      <c r="AG4" s="15"/>
      <c r="AH4" s="15"/>
      <c r="AI4" s="16"/>
      <c r="AJ4" s="15"/>
      <c r="AK4" s="15"/>
      <c r="AL4" s="15"/>
      <c r="AM4" s="16"/>
      <c r="AN4" s="15"/>
      <c r="AO4" s="15"/>
      <c r="AP4" s="15"/>
      <c r="AQ4" s="16"/>
      <c r="AR4" s="15"/>
      <c r="AS4" s="15"/>
      <c r="AT4" s="15"/>
      <c r="AU4" s="16"/>
      <c r="AV4" s="15"/>
      <c r="AW4" s="17"/>
      <c r="AX4" s="15"/>
      <c r="AY4" s="16"/>
      <c r="AZ4" s="15"/>
      <c r="BA4" s="15"/>
      <c r="BB4" s="15"/>
      <c r="BC4" s="16"/>
      <c r="BD4" s="15"/>
      <c r="BE4" s="15"/>
      <c r="BF4" s="15"/>
      <c r="BG4" s="16"/>
      <c r="BH4" s="15"/>
      <c r="BI4" s="15"/>
      <c r="BJ4" s="15"/>
      <c r="BK4" s="16"/>
      <c r="BL4" s="15"/>
      <c r="BM4" s="15"/>
      <c r="BN4" s="15"/>
      <c r="BO4" s="16"/>
      <c r="BP4" s="15"/>
    </row>
    <row r="5" spans="1:68" ht="48" customHeight="1" x14ac:dyDescent="0.25">
      <c r="A5" s="12" t="s">
        <v>115</v>
      </c>
      <c r="B5" s="13" t="s">
        <v>116</v>
      </c>
      <c r="C5" s="12" t="str">
        <f>IF(D5=16,"COMPLETA","INCOMPLETA: faltan "&amp;(16-D5)&amp;" campos")</f>
        <v>INCOMPLETA: faltan 16 campos</v>
      </c>
      <c r="D5" s="14">
        <f>SUMPRODUCT((MOD(COLUMN(E5:BP5)-COLUMN($E$5),4)=3)*((E5:BP5="Sí")+(E5:BP5="No aplica")))</f>
        <v>0</v>
      </c>
      <c r="E5" s="15"/>
      <c r="F5" s="15"/>
      <c r="G5" s="16"/>
      <c r="H5" s="15"/>
      <c r="I5" s="15"/>
      <c r="J5" s="15"/>
      <c r="K5" s="16"/>
      <c r="L5" s="15"/>
      <c r="M5" s="15"/>
      <c r="N5" s="15"/>
      <c r="O5" s="16"/>
      <c r="P5" s="15"/>
      <c r="Q5" s="17"/>
      <c r="R5" s="15"/>
      <c r="S5" s="16"/>
      <c r="T5" s="15"/>
      <c r="U5" s="17"/>
      <c r="V5" s="15"/>
      <c r="W5" s="16"/>
      <c r="X5" s="15"/>
      <c r="Y5" s="18"/>
      <c r="Z5" s="15"/>
      <c r="AA5" s="16"/>
      <c r="AB5" s="15"/>
      <c r="AC5" s="15"/>
      <c r="AD5" s="15"/>
      <c r="AE5" s="16"/>
      <c r="AF5" s="15"/>
      <c r="AG5" s="15"/>
      <c r="AH5" s="15"/>
      <c r="AI5" s="16"/>
      <c r="AJ5" s="15"/>
      <c r="AK5" s="15"/>
      <c r="AL5" s="15"/>
      <c r="AM5" s="16"/>
      <c r="AN5" s="15"/>
      <c r="AO5" s="15"/>
      <c r="AP5" s="15"/>
      <c r="AQ5" s="16"/>
      <c r="AR5" s="15"/>
      <c r="AS5" s="15"/>
      <c r="AT5" s="15"/>
      <c r="AU5" s="16"/>
      <c r="AV5" s="15"/>
      <c r="AW5" s="17"/>
      <c r="AX5" s="15"/>
      <c r="AY5" s="16"/>
      <c r="AZ5" s="15"/>
      <c r="BA5" s="15"/>
      <c r="BB5" s="15"/>
      <c r="BC5" s="16"/>
      <c r="BD5" s="15"/>
      <c r="BE5" s="15"/>
      <c r="BF5" s="15"/>
      <c r="BG5" s="16"/>
      <c r="BH5" s="15"/>
      <c r="BI5" s="15"/>
      <c r="BJ5" s="15"/>
      <c r="BK5" s="16"/>
      <c r="BL5" s="15"/>
      <c r="BM5" s="15"/>
      <c r="BN5" s="15"/>
      <c r="BO5" s="16"/>
      <c r="BP5" s="15"/>
    </row>
    <row r="7" spans="1:68" x14ac:dyDescent="0.25">
      <c r="A7" s="19" t="s">
        <v>117</v>
      </c>
    </row>
  </sheetData>
  <mergeCells count="20">
    <mergeCell ref="A1:A2"/>
    <mergeCell ref="BM1:BP1"/>
    <mergeCell ref="Q1:T1"/>
    <mergeCell ref="D1:D2"/>
    <mergeCell ref="AK1:AN1"/>
    <mergeCell ref="AC1:AF1"/>
    <mergeCell ref="AO1:AR1"/>
    <mergeCell ref="B1:B2"/>
    <mergeCell ref="AG1:AJ1"/>
    <mergeCell ref="AS1:AV1"/>
    <mergeCell ref="M1:P1"/>
    <mergeCell ref="E1:H1"/>
    <mergeCell ref="Y1:AB1"/>
    <mergeCell ref="AW1:AZ1"/>
    <mergeCell ref="I1:L1"/>
    <mergeCell ref="C1:C2"/>
    <mergeCell ref="BA1:BD1"/>
    <mergeCell ref="BI1:BL1"/>
    <mergeCell ref="U1:X1"/>
    <mergeCell ref="BE1:BH1"/>
  </mergeCells>
  <conditionalFormatting sqref="C3:C5">
    <cfRule type="expression" dxfId="7" priority="3">
      <formula>$D3=16</formula>
    </cfRule>
  </conditionalFormatting>
  <conditionalFormatting sqref="H3:H5 L3:L5 P3:P5 T3:T5 X3:X5 AB3:AB5 AF3:AF5 AJ3:AJ5 AN3:AN5 AR3:AR5 AV3:AV5 AZ3:AZ5 BD3:BD5 BH3:BH5 BL3:BL5 BP3:BP5">
    <cfRule type="expression" dxfId="6" priority="1">
      <formula>H3="Sí"</formula>
    </cfRule>
    <cfRule type="expression" dxfId="5" priority="2">
      <formula>H3="No"</formula>
    </cfRule>
  </conditionalFormatting>
  <dataValidations count="5">
    <dataValidation type="list" allowBlank="1" showInputMessage="1" showErrorMessage="1" errorTitle="Valor no válido" error="Elegí Sí, No o No aplica de la lista." promptTitle="¿Verificado?" prompt="Sí solo si lo comprobaste con una fuente (factura, prueba propia, documento del proveedor). No aplica: solo si el campo no corresponde a ese producto (ej.: permisos de gameplay en audífonos)." sqref="H3:H5 L3:L5 P3:P5 T3:T5 X3:X5 AB3:AB5 AF3:AF5 AJ3:AJ5 AN3:AN5 AR3:AR5 AV3:AV5 AZ3:AZ5 BD3:BD5 BH3:BH5 BL3:BL5 BP3:BP5" xr:uid="{00000000-0002-0000-0100-000000000000}">
      <formula1>"Sí,No,No aplica"</formula1>
    </dataValidation>
    <dataValidation type="date" allowBlank="1" showInputMessage="1" showErrorMessage="1" errorTitle="Fecha no válida" error="Escribí la fecha como dd/mm/aaaa." promptTitle="Fecha de comprobación" prompt="Día en que comprobaste este dato (dd/mm/aaaa)." sqref="G3:G5 K3:K5 O3:O5 S3:S5 W3:W5 AA3:AA5 AE3:AE5 AI3:AI5 AM3:AM5 AQ3:AQ5 AU3:AU5 AY3:AY5 BC3:BC5 BG3:BG5 BK3:BK5 BO3:BO5" xr:uid="{00000000-0002-0000-0100-000001000000}">
      <formula1>DATE(2026,1,1)</formula1>
      <formula2>DATE(2030,12,31)</formula2>
    </dataValidation>
    <dataValidation type="list" allowBlank="1" showInputMessage="1" showErrorMessage="1" errorTitle="Valor no válido" error="Elegí Sí o No." promptTitle="Foto o video propio" prompt="Sí si tenés fotos o video grabados por ustedes de ESTE producto. No usar fotos de terceros." sqref="M3:M5" xr:uid="{00000000-0002-0000-0100-000002000000}">
      <formula1>"Sí,No"</formula1>
    </dataValidation>
    <dataValidation type="decimal" operator="greaterThanOrEqual" allowBlank="1" showInputMessage="1" showErrorMessage="1" errorTitle="Monto no válido" error="Solo números en colones, sin ₡ ni puntos de texto." promptTitle="Monto en colones" prompt="Solo el número en colones (el formato pone ₡)." sqref="Q3:Q5 U3:U5" xr:uid="{00000000-0002-0000-0100-000003000000}">
      <formula1>0</formula1>
    </dataValidation>
    <dataValidation type="whole" operator="greaterThanOrEqual" allowBlank="1" showErrorMessage="1" errorTitle="Stock no válido" error="Número entero de unidades." sqref="Y3:Y5" xr:uid="{00000000-0002-0000-0100-000004000000}">
      <formula1>0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12" customWidth="1"/>
    <col min="3" max="3" width="20" customWidth="1"/>
    <col min="4" max="4" width="13" customWidth="1"/>
    <col min="5" max="5" width="18" customWidth="1"/>
    <col min="6" max="6" width="13" customWidth="1"/>
    <col min="7" max="8" width="11" customWidth="1"/>
    <col min="9" max="9" width="10" customWidth="1"/>
    <col min="10" max="10" width="11" customWidth="1"/>
    <col min="11" max="11" width="10" customWidth="1"/>
    <col min="12" max="12" width="14" customWidth="1"/>
    <col min="13" max="13" width="13" customWidth="1"/>
    <col min="14" max="14" width="15" customWidth="1"/>
    <col min="15" max="15" width="42" customWidth="1"/>
  </cols>
  <sheetData>
    <row r="1" spans="1:15" ht="44.1" customHeight="1" x14ac:dyDescent="0.25">
      <c r="A1" s="9" t="s">
        <v>118</v>
      </c>
      <c r="B1" s="9" t="s">
        <v>109</v>
      </c>
      <c r="C1" s="9" t="s">
        <v>119</v>
      </c>
      <c r="D1" s="9" t="s">
        <v>120</v>
      </c>
      <c r="E1" s="9" t="s">
        <v>121</v>
      </c>
      <c r="F1" s="9" t="s">
        <v>122</v>
      </c>
      <c r="G1" s="9" t="s">
        <v>123</v>
      </c>
      <c r="H1" s="9" t="s">
        <v>124</v>
      </c>
      <c r="I1" s="9" t="s">
        <v>61</v>
      </c>
      <c r="J1" s="9" t="s">
        <v>63</v>
      </c>
      <c r="K1" s="9" t="s">
        <v>65</v>
      </c>
      <c r="L1" s="9" t="s">
        <v>125</v>
      </c>
      <c r="M1" s="9" t="s">
        <v>126</v>
      </c>
      <c r="N1" s="9" t="s">
        <v>127</v>
      </c>
      <c r="O1" s="9" t="s">
        <v>128</v>
      </c>
    </row>
    <row r="2" spans="1:15" x14ac:dyDescent="0.25">
      <c r="A2" s="20" t="str">
        <f t="shared" ref="A2:A65" si="0">IF(AND(B2="",D2=""),"",ROW()-1)</f>
        <v/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3"/>
      <c r="M2" s="24"/>
      <c r="N2" s="22"/>
      <c r="O2" s="15"/>
    </row>
    <row r="3" spans="1:15" x14ac:dyDescent="0.25">
      <c r="A3" s="20" t="str">
        <f t="shared" si="0"/>
        <v/>
      </c>
      <c r="B3" s="21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2"/>
      <c r="O3" s="15"/>
    </row>
    <row r="4" spans="1:15" x14ac:dyDescent="0.25">
      <c r="A4" s="20" t="str">
        <f t="shared" si="0"/>
        <v/>
      </c>
      <c r="B4" s="21"/>
      <c r="C4" s="22"/>
      <c r="D4" s="22"/>
      <c r="E4" s="22"/>
      <c r="F4" s="22"/>
      <c r="G4" s="22"/>
      <c r="H4" s="22"/>
      <c r="I4" s="22"/>
      <c r="J4" s="22"/>
      <c r="K4" s="22"/>
      <c r="L4" s="23"/>
      <c r="M4" s="24"/>
      <c r="N4" s="22"/>
      <c r="O4" s="15"/>
    </row>
    <row r="5" spans="1:15" x14ac:dyDescent="0.25">
      <c r="A5" s="20" t="str">
        <f t="shared" si="0"/>
        <v/>
      </c>
      <c r="B5" s="21"/>
      <c r="C5" s="22"/>
      <c r="D5" s="22"/>
      <c r="E5" s="22"/>
      <c r="F5" s="22"/>
      <c r="G5" s="22"/>
      <c r="H5" s="22"/>
      <c r="I5" s="22"/>
      <c r="J5" s="22"/>
      <c r="K5" s="22"/>
      <c r="L5" s="23"/>
      <c r="M5" s="24"/>
      <c r="N5" s="22"/>
      <c r="O5" s="15"/>
    </row>
    <row r="6" spans="1:15" x14ac:dyDescent="0.25">
      <c r="A6" s="20" t="str">
        <f t="shared" si="0"/>
        <v/>
      </c>
      <c r="B6" s="21"/>
      <c r="C6" s="22"/>
      <c r="D6" s="22"/>
      <c r="E6" s="22"/>
      <c r="F6" s="22"/>
      <c r="G6" s="22"/>
      <c r="H6" s="22"/>
      <c r="I6" s="22"/>
      <c r="J6" s="22"/>
      <c r="K6" s="22"/>
      <c r="L6" s="23"/>
      <c r="M6" s="24"/>
      <c r="N6" s="22"/>
      <c r="O6" s="15"/>
    </row>
    <row r="7" spans="1:15" x14ac:dyDescent="0.25">
      <c r="A7" s="20" t="str">
        <f t="shared" si="0"/>
        <v/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3"/>
      <c r="M7" s="24"/>
      <c r="N7" s="22"/>
      <c r="O7" s="15"/>
    </row>
    <row r="8" spans="1:15" x14ac:dyDescent="0.25">
      <c r="A8" s="20" t="str">
        <f t="shared" si="0"/>
        <v/>
      </c>
      <c r="B8" s="21"/>
      <c r="C8" s="22"/>
      <c r="D8" s="22"/>
      <c r="E8" s="22"/>
      <c r="F8" s="22"/>
      <c r="G8" s="22"/>
      <c r="H8" s="22"/>
      <c r="I8" s="22"/>
      <c r="J8" s="22"/>
      <c r="K8" s="22"/>
      <c r="L8" s="23"/>
      <c r="M8" s="24"/>
      <c r="N8" s="22"/>
      <c r="O8" s="15"/>
    </row>
    <row r="9" spans="1:15" x14ac:dyDescent="0.25">
      <c r="A9" s="20" t="str">
        <f t="shared" si="0"/>
        <v/>
      </c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  <c r="M9" s="24"/>
      <c r="N9" s="22"/>
      <c r="O9" s="15"/>
    </row>
    <row r="10" spans="1:15" x14ac:dyDescent="0.25">
      <c r="A10" s="20" t="str">
        <f t="shared" si="0"/>
        <v/>
      </c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4"/>
      <c r="N10" s="22"/>
      <c r="O10" s="15"/>
    </row>
    <row r="11" spans="1:15" x14ac:dyDescent="0.25">
      <c r="A11" s="20" t="str">
        <f t="shared" si="0"/>
        <v/>
      </c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4"/>
      <c r="N11" s="22"/>
      <c r="O11" s="15"/>
    </row>
    <row r="12" spans="1:15" x14ac:dyDescent="0.25">
      <c r="A12" s="20" t="str">
        <f t="shared" si="0"/>
        <v/>
      </c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4"/>
      <c r="N12" s="22"/>
      <c r="O12" s="15"/>
    </row>
    <row r="13" spans="1:15" x14ac:dyDescent="0.25">
      <c r="A13" s="20" t="str">
        <f t="shared" si="0"/>
        <v/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24"/>
      <c r="N13" s="22"/>
      <c r="O13" s="15"/>
    </row>
    <row r="14" spans="1:15" x14ac:dyDescent="0.25">
      <c r="A14" s="20" t="str">
        <f t="shared" si="0"/>
        <v/>
      </c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24"/>
      <c r="N14" s="22"/>
      <c r="O14" s="15"/>
    </row>
    <row r="15" spans="1:15" x14ac:dyDescent="0.25">
      <c r="A15" s="20" t="str">
        <f t="shared" si="0"/>
        <v/>
      </c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4"/>
      <c r="N15" s="22"/>
      <c r="O15" s="15"/>
    </row>
    <row r="16" spans="1:15" x14ac:dyDescent="0.25">
      <c r="A16" s="20" t="str">
        <f t="shared" si="0"/>
        <v/>
      </c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4"/>
      <c r="N16" s="22"/>
      <c r="O16" s="15"/>
    </row>
    <row r="17" spans="1:15" x14ac:dyDescent="0.25">
      <c r="A17" s="20" t="str">
        <f t="shared" si="0"/>
        <v/>
      </c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24"/>
      <c r="N17" s="22"/>
      <c r="O17" s="15"/>
    </row>
    <row r="18" spans="1:15" x14ac:dyDescent="0.25">
      <c r="A18" s="20" t="str">
        <f t="shared" si="0"/>
        <v/>
      </c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24"/>
      <c r="N18" s="22"/>
      <c r="O18" s="15"/>
    </row>
    <row r="19" spans="1:15" x14ac:dyDescent="0.25">
      <c r="A19" s="20" t="str">
        <f t="shared" si="0"/>
        <v/>
      </c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24"/>
      <c r="N19" s="22"/>
      <c r="O19" s="15"/>
    </row>
    <row r="20" spans="1:15" x14ac:dyDescent="0.25">
      <c r="A20" s="20" t="str">
        <f t="shared" si="0"/>
        <v/>
      </c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24"/>
      <c r="N20" s="22"/>
      <c r="O20" s="15"/>
    </row>
    <row r="21" spans="1:15" x14ac:dyDescent="0.25">
      <c r="A21" s="20" t="str">
        <f t="shared" si="0"/>
        <v/>
      </c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  <c r="M21" s="24"/>
      <c r="N21" s="22"/>
      <c r="O21" s="15"/>
    </row>
    <row r="22" spans="1:15" x14ac:dyDescent="0.25">
      <c r="A22" s="20" t="str">
        <f t="shared" si="0"/>
        <v/>
      </c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  <c r="M22" s="24"/>
      <c r="N22" s="22"/>
      <c r="O22" s="15"/>
    </row>
    <row r="23" spans="1:15" x14ac:dyDescent="0.25">
      <c r="A23" s="20" t="str">
        <f t="shared" si="0"/>
        <v/>
      </c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  <c r="M23" s="24"/>
      <c r="N23" s="22"/>
      <c r="O23" s="15"/>
    </row>
    <row r="24" spans="1:15" x14ac:dyDescent="0.25">
      <c r="A24" s="20" t="str">
        <f t="shared" si="0"/>
        <v/>
      </c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  <c r="M24" s="24"/>
      <c r="N24" s="22"/>
      <c r="O24" s="15"/>
    </row>
    <row r="25" spans="1:15" x14ac:dyDescent="0.25">
      <c r="A25" s="20" t="str">
        <f t="shared" si="0"/>
        <v/>
      </c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3"/>
      <c r="M25" s="24"/>
      <c r="N25" s="22"/>
      <c r="O25" s="15"/>
    </row>
    <row r="26" spans="1:15" x14ac:dyDescent="0.25">
      <c r="A26" s="20" t="str">
        <f t="shared" si="0"/>
        <v/>
      </c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  <c r="M26" s="24"/>
      <c r="N26" s="22"/>
      <c r="O26" s="15"/>
    </row>
    <row r="27" spans="1:15" x14ac:dyDescent="0.25">
      <c r="A27" s="20" t="str">
        <f t="shared" si="0"/>
        <v/>
      </c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  <c r="M27" s="24"/>
      <c r="N27" s="22"/>
      <c r="O27" s="15"/>
    </row>
    <row r="28" spans="1:15" x14ac:dyDescent="0.25">
      <c r="A28" s="20" t="str">
        <f t="shared" si="0"/>
        <v/>
      </c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  <c r="M28" s="24"/>
      <c r="N28" s="22"/>
      <c r="O28" s="15"/>
    </row>
    <row r="29" spans="1:15" x14ac:dyDescent="0.25">
      <c r="A29" s="20" t="str">
        <f t="shared" si="0"/>
        <v/>
      </c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  <c r="M29" s="24"/>
      <c r="N29" s="22"/>
      <c r="O29" s="15"/>
    </row>
    <row r="30" spans="1:15" x14ac:dyDescent="0.25">
      <c r="A30" s="20" t="str">
        <f t="shared" si="0"/>
        <v/>
      </c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  <c r="M30" s="24"/>
      <c r="N30" s="22"/>
      <c r="O30" s="15"/>
    </row>
    <row r="31" spans="1:15" x14ac:dyDescent="0.25">
      <c r="A31" s="20" t="str">
        <f t="shared" si="0"/>
        <v/>
      </c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  <c r="O31" s="15"/>
    </row>
    <row r="32" spans="1:15" x14ac:dyDescent="0.25">
      <c r="A32" s="20" t="str">
        <f t="shared" si="0"/>
        <v/>
      </c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  <c r="O32" s="15"/>
    </row>
    <row r="33" spans="1:15" x14ac:dyDescent="0.25">
      <c r="A33" s="20" t="str">
        <f t="shared" si="0"/>
        <v/>
      </c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  <c r="O33" s="15"/>
    </row>
    <row r="34" spans="1:15" x14ac:dyDescent="0.25">
      <c r="A34" s="20" t="str">
        <f t="shared" si="0"/>
        <v/>
      </c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  <c r="O34" s="15"/>
    </row>
    <row r="35" spans="1:15" x14ac:dyDescent="0.25">
      <c r="A35" s="20" t="str">
        <f t="shared" si="0"/>
        <v/>
      </c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  <c r="O35" s="15"/>
    </row>
    <row r="36" spans="1:15" x14ac:dyDescent="0.25">
      <c r="A36" s="20" t="str">
        <f t="shared" si="0"/>
        <v/>
      </c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  <c r="O36" s="15"/>
    </row>
    <row r="37" spans="1:15" x14ac:dyDescent="0.25">
      <c r="A37" s="20" t="str">
        <f t="shared" si="0"/>
        <v/>
      </c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  <c r="O37" s="15"/>
    </row>
    <row r="38" spans="1:15" x14ac:dyDescent="0.25">
      <c r="A38" s="20" t="str">
        <f t="shared" si="0"/>
        <v/>
      </c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  <c r="O38" s="15"/>
    </row>
    <row r="39" spans="1:15" x14ac:dyDescent="0.25">
      <c r="A39" s="20" t="str">
        <f t="shared" si="0"/>
        <v/>
      </c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  <c r="O39" s="15"/>
    </row>
    <row r="40" spans="1:15" x14ac:dyDescent="0.25">
      <c r="A40" s="20" t="str">
        <f t="shared" si="0"/>
        <v/>
      </c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  <c r="O40" s="15"/>
    </row>
    <row r="41" spans="1:15" x14ac:dyDescent="0.25">
      <c r="A41" s="20" t="str">
        <f t="shared" si="0"/>
        <v/>
      </c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  <c r="O41" s="15"/>
    </row>
    <row r="42" spans="1:15" x14ac:dyDescent="0.25">
      <c r="A42" s="20" t="str">
        <f t="shared" si="0"/>
        <v/>
      </c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  <c r="O42" s="15"/>
    </row>
    <row r="43" spans="1:15" x14ac:dyDescent="0.25">
      <c r="A43" s="20" t="str">
        <f t="shared" si="0"/>
        <v/>
      </c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  <c r="O43" s="15"/>
    </row>
    <row r="44" spans="1:15" x14ac:dyDescent="0.25">
      <c r="A44" s="20" t="str">
        <f t="shared" si="0"/>
        <v/>
      </c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  <c r="O44" s="15"/>
    </row>
    <row r="45" spans="1:15" x14ac:dyDescent="0.25">
      <c r="A45" s="20" t="str">
        <f t="shared" si="0"/>
        <v/>
      </c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  <c r="O45" s="15"/>
    </row>
    <row r="46" spans="1:15" x14ac:dyDescent="0.25">
      <c r="A46" s="20" t="str">
        <f t="shared" si="0"/>
        <v/>
      </c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  <c r="O46" s="15"/>
    </row>
    <row r="47" spans="1:15" x14ac:dyDescent="0.25">
      <c r="A47" s="20" t="str">
        <f t="shared" si="0"/>
        <v/>
      </c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  <c r="O47" s="15"/>
    </row>
    <row r="48" spans="1:15" x14ac:dyDescent="0.25">
      <c r="A48" s="20" t="str">
        <f t="shared" si="0"/>
        <v/>
      </c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  <c r="O48" s="15"/>
    </row>
    <row r="49" spans="1:15" x14ac:dyDescent="0.25">
      <c r="A49" s="20" t="str">
        <f t="shared" si="0"/>
        <v/>
      </c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  <c r="O49" s="15"/>
    </row>
    <row r="50" spans="1:15" x14ac:dyDescent="0.25">
      <c r="A50" s="20" t="str">
        <f t="shared" si="0"/>
        <v/>
      </c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  <c r="O50" s="15"/>
    </row>
    <row r="51" spans="1:15" x14ac:dyDescent="0.25">
      <c r="A51" s="20" t="str">
        <f t="shared" si="0"/>
        <v/>
      </c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  <c r="O51" s="15"/>
    </row>
    <row r="52" spans="1:15" x14ac:dyDescent="0.25">
      <c r="A52" s="20" t="str">
        <f t="shared" si="0"/>
        <v/>
      </c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  <c r="O52" s="15"/>
    </row>
    <row r="53" spans="1:15" x14ac:dyDescent="0.25">
      <c r="A53" s="20" t="str">
        <f t="shared" si="0"/>
        <v/>
      </c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  <c r="O53" s="15"/>
    </row>
    <row r="54" spans="1:15" x14ac:dyDescent="0.25">
      <c r="A54" s="20" t="str">
        <f t="shared" si="0"/>
        <v/>
      </c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  <c r="O54" s="15"/>
    </row>
    <row r="55" spans="1:15" x14ac:dyDescent="0.25">
      <c r="A55" s="20" t="str">
        <f t="shared" si="0"/>
        <v/>
      </c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  <c r="O55" s="15"/>
    </row>
    <row r="56" spans="1:15" x14ac:dyDescent="0.25">
      <c r="A56" s="20" t="str">
        <f t="shared" si="0"/>
        <v/>
      </c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  <c r="O56" s="15"/>
    </row>
    <row r="57" spans="1:15" x14ac:dyDescent="0.25">
      <c r="A57" s="20" t="str">
        <f t="shared" si="0"/>
        <v/>
      </c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  <c r="O57" s="15"/>
    </row>
    <row r="58" spans="1:15" x14ac:dyDescent="0.25">
      <c r="A58" s="20" t="str">
        <f t="shared" si="0"/>
        <v/>
      </c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  <c r="O58" s="15"/>
    </row>
    <row r="59" spans="1:15" x14ac:dyDescent="0.25">
      <c r="A59" s="20" t="str">
        <f t="shared" si="0"/>
        <v/>
      </c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  <c r="O59" s="15"/>
    </row>
    <row r="60" spans="1:15" x14ac:dyDescent="0.25">
      <c r="A60" s="20" t="str">
        <f t="shared" si="0"/>
        <v/>
      </c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  <c r="O60" s="15"/>
    </row>
    <row r="61" spans="1:15" x14ac:dyDescent="0.25">
      <c r="A61" s="20" t="str">
        <f t="shared" si="0"/>
        <v/>
      </c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  <c r="O61" s="15"/>
    </row>
    <row r="62" spans="1:15" x14ac:dyDescent="0.25">
      <c r="A62" s="20" t="str">
        <f t="shared" si="0"/>
        <v/>
      </c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  <c r="O62" s="15"/>
    </row>
    <row r="63" spans="1:15" x14ac:dyDescent="0.25">
      <c r="A63" s="20" t="str">
        <f t="shared" si="0"/>
        <v/>
      </c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  <c r="O63" s="15"/>
    </row>
    <row r="64" spans="1:15" x14ac:dyDescent="0.25">
      <c r="A64" s="20" t="str">
        <f t="shared" si="0"/>
        <v/>
      </c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  <c r="O64" s="15"/>
    </row>
    <row r="65" spans="1:15" x14ac:dyDescent="0.25">
      <c r="A65" s="20" t="str">
        <f t="shared" si="0"/>
        <v/>
      </c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  <c r="O65" s="15"/>
    </row>
    <row r="66" spans="1:15" x14ac:dyDescent="0.25">
      <c r="A66" s="20" t="str">
        <f t="shared" ref="A66:A129" si="1">IF(AND(B66="",D66=""),"",ROW()-1)</f>
        <v/>
      </c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  <c r="O66" s="15"/>
    </row>
    <row r="67" spans="1:15" x14ac:dyDescent="0.25">
      <c r="A67" s="20" t="str">
        <f t="shared" si="1"/>
        <v/>
      </c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  <c r="O67" s="15"/>
    </row>
    <row r="68" spans="1:15" x14ac:dyDescent="0.25">
      <c r="A68" s="20" t="str">
        <f t="shared" si="1"/>
        <v/>
      </c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  <c r="O68" s="15"/>
    </row>
    <row r="69" spans="1:15" x14ac:dyDescent="0.25">
      <c r="A69" s="20" t="str">
        <f t="shared" si="1"/>
        <v/>
      </c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  <c r="O69" s="15"/>
    </row>
    <row r="70" spans="1:15" x14ac:dyDescent="0.25">
      <c r="A70" s="20" t="str">
        <f t="shared" si="1"/>
        <v/>
      </c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  <c r="O70" s="15"/>
    </row>
    <row r="71" spans="1:15" x14ac:dyDescent="0.25">
      <c r="A71" s="20" t="str">
        <f t="shared" si="1"/>
        <v/>
      </c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  <c r="O71" s="15"/>
    </row>
    <row r="72" spans="1:15" x14ac:dyDescent="0.25">
      <c r="A72" s="20" t="str">
        <f t="shared" si="1"/>
        <v/>
      </c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  <c r="O72" s="15"/>
    </row>
    <row r="73" spans="1:15" x14ac:dyDescent="0.25">
      <c r="A73" s="20" t="str">
        <f t="shared" si="1"/>
        <v/>
      </c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  <c r="O73" s="15"/>
    </row>
    <row r="74" spans="1:15" x14ac:dyDescent="0.25">
      <c r="A74" s="20" t="str">
        <f t="shared" si="1"/>
        <v/>
      </c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  <c r="O74" s="15"/>
    </row>
    <row r="75" spans="1:15" x14ac:dyDescent="0.25">
      <c r="A75" s="20" t="str">
        <f t="shared" si="1"/>
        <v/>
      </c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  <c r="O75" s="15"/>
    </row>
    <row r="76" spans="1:15" x14ac:dyDescent="0.25">
      <c r="A76" s="20" t="str">
        <f t="shared" si="1"/>
        <v/>
      </c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  <c r="O76" s="15"/>
    </row>
    <row r="77" spans="1:15" x14ac:dyDescent="0.25">
      <c r="A77" s="20" t="str">
        <f t="shared" si="1"/>
        <v/>
      </c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  <c r="O77" s="15"/>
    </row>
    <row r="78" spans="1:15" x14ac:dyDescent="0.25">
      <c r="A78" s="20" t="str">
        <f t="shared" si="1"/>
        <v/>
      </c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  <c r="O78" s="15"/>
    </row>
    <row r="79" spans="1:15" x14ac:dyDescent="0.25">
      <c r="A79" s="20" t="str">
        <f t="shared" si="1"/>
        <v/>
      </c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  <c r="O79" s="15"/>
    </row>
    <row r="80" spans="1:15" x14ac:dyDescent="0.25">
      <c r="A80" s="20" t="str">
        <f t="shared" si="1"/>
        <v/>
      </c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  <c r="O80" s="15"/>
    </row>
    <row r="81" spans="1:15" x14ac:dyDescent="0.25">
      <c r="A81" s="20" t="str">
        <f t="shared" si="1"/>
        <v/>
      </c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  <c r="O81" s="15"/>
    </row>
    <row r="82" spans="1:15" x14ac:dyDescent="0.25">
      <c r="A82" s="20" t="str">
        <f t="shared" si="1"/>
        <v/>
      </c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  <c r="O82" s="15"/>
    </row>
    <row r="83" spans="1:15" x14ac:dyDescent="0.25">
      <c r="A83" s="20" t="str">
        <f t="shared" si="1"/>
        <v/>
      </c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  <c r="O83" s="15"/>
    </row>
    <row r="84" spans="1:15" x14ac:dyDescent="0.25">
      <c r="A84" s="20" t="str">
        <f t="shared" si="1"/>
        <v/>
      </c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  <c r="O84" s="15"/>
    </row>
    <row r="85" spans="1:15" x14ac:dyDescent="0.25">
      <c r="A85" s="20" t="str">
        <f t="shared" si="1"/>
        <v/>
      </c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  <c r="O85" s="15"/>
    </row>
    <row r="86" spans="1:15" x14ac:dyDescent="0.25">
      <c r="A86" s="20" t="str">
        <f t="shared" si="1"/>
        <v/>
      </c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  <c r="O86" s="15"/>
    </row>
    <row r="87" spans="1:15" x14ac:dyDescent="0.25">
      <c r="A87" s="20" t="str">
        <f t="shared" si="1"/>
        <v/>
      </c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  <c r="O87" s="15"/>
    </row>
    <row r="88" spans="1:15" x14ac:dyDescent="0.25">
      <c r="A88" s="20" t="str">
        <f t="shared" si="1"/>
        <v/>
      </c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  <c r="O88" s="15"/>
    </row>
    <row r="89" spans="1:15" x14ac:dyDescent="0.25">
      <c r="A89" s="20" t="str">
        <f t="shared" si="1"/>
        <v/>
      </c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  <c r="O89" s="15"/>
    </row>
    <row r="90" spans="1:15" x14ac:dyDescent="0.25">
      <c r="A90" s="20" t="str">
        <f t="shared" si="1"/>
        <v/>
      </c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  <c r="O90" s="15"/>
    </row>
    <row r="91" spans="1:15" x14ac:dyDescent="0.25">
      <c r="A91" s="20" t="str">
        <f t="shared" si="1"/>
        <v/>
      </c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  <c r="O91" s="15"/>
    </row>
    <row r="92" spans="1:15" x14ac:dyDescent="0.25">
      <c r="A92" s="20" t="str">
        <f t="shared" si="1"/>
        <v/>
      </c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  <c r="O92" s="15"/>
    </row>
    <row r="93" spans="1:15" x14ac:dyDescent="0.25">
      <c r="A93" s="20" t="str">
        <f t="shared" si="1"/>
        <v/>
      </c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  <c r="O93" s="15"/>
    </row>
    <row r="94" spans="1:15" x14ac:dyDescent="0.25">
      <c r="A94" s="20" t="str">
        <f t="shared" si="1"/>
        <v/>
      </c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  <c r="O94" s="15"/>
    </row>
    <row r="95" spans="1:15" x14ac:dyDescent="0.25">
      <c r="A95" s="20" t="str">
        <f t="shared" si="1"/>
        <v/>
      </c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  <c r="O95" s="15"/>
    </row>
    <row r="96" spans="1:15" x14ac:dyDescent="0.25">
      <c r="A96" s="20" t="str">
        <f t="shared" si="1"/>
        <v/>
      </c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  <c r="O96" s="15"/>
    </row>
    <row r="97" spans="1:15" x14ac:dyDescent="0.25">
      <c r="A97" s="20" t="str">
        <f t="shared" si="1"/>
        <v/>
      </c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  <c r="O97" s="15"/>
    </row>
    <row r="98" spans="1:15" x14ac:dyDescent="0.25">
      <c r="A98" s="20" t="str">
        <f t="shared" si="1"/>
        <v/>
      </c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  <c r="O98" s="15"/>
    </row>
    <row r="99" spans="1:15" x14ac:dyDescent="0.25">
      <c r="A99" s="20" t="str">
        <f t="shared" si="1"/>
        <v/>
      </c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  <c r="O99" s="15"/>
    </row>
    <row r="100" spans="1:15" x14ac:dyDescent="0.25">
      <c r="A100" s="20" t="str">
        <f t="shared" si="1"/>
        <v/>
      </c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  <c r="O100" s="15"/>
    </row>
    <row r="101" spans="1:15" x14ac:dyDescent="0.25">
      <c r="A101" s="20" t="str">
        <f t="shared" si="1"/>
        <v/>
      </c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  <c r="O101" s="15"/>
    </row>
    <row r="102" spans="1:15" x14ac:dyDescent="0.25">
      <c r="A102" s="20" t="str">
        <f t="shared" si="1"/>
        <v/>
      </c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  <c r="O102" s="15"/>
    </row>
    <row r="103" spans="1:15" x14ac:dyDescent="0.25">
      <c r="A103" s="20" t="str">
        <f t="shared" si="1"/>
        <v/>
      </c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  <c r="O103" s="15"/>
    </row>
    <row r="104" spans="1:15" x14ac:dyDescent="0.25">
      <c r="A104" s="20" t="str">
        <f t="shared" si="1"/>
        <v/>
      </c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  <c r="O104" s="15"/>
    </row>
    <row r="105" spans="1:15" x14ac:dyDescent="0.25">
      <c r="A105" s="20" t="str">
        <f t="shared" si="1"/>
        <v/>
      </c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  <c r="O105" s="15"/>
    </row>
    <row r="106" spans="1:15" x14ac:dyDescent="0.25">
      <c r="A106" s="20" t="str">
        <f t="shared" si="1"/>
        <v/>
      </c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  <c r="O106" s="15"/>
    </row>
    <row r="107" spans="1:15" x14ac:dyDescent="0.25">
      <c r="A107" s="20" t="str">
        <f t="shared" si="1"/>
        <v/>
      </c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  <c r="O107" s="15"/>
    </row>
    <row r="108" spans="1:15" x14ac:dyDescent="0.25">
      <c r="A108" s="20" t="str">
        <f t="shared" si="1"/>
        <v/>
      </c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  <c r="O108" s="15"/>
    </row>
    <row r="109" spans="1:15" x14ac:dyDescent="0.25">
      <c r="A109" s="20" t="str">
        <f t="shared" si="1"/>
        <v/>
      </c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  <c r="O109" s="15"/>
    </row>
    <row r="110" spans="1:15" x14ac:dyDescent="0.25">
      <c r="A110" s="20" t="str">
        <f t="shared" si="1"/>
        <v/>
      </c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  <c r="O110" s="15"/>
    </row>
    <row r="111" spans="1:15" x14ac:dyDescent="0.25">
      <c r="A111" s="20" t="str">
        <f t="shared" si="1"/>
        <v/>
      </c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  <c r="O111" s="15"/>
    </row>
    <row r="112" spans="1:15" x14ac:dyDescent="0.25">
      <c r="A112" s="20" t="str">
        <f t="shared" si="1"/>
        <v/>
      </c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  <c r="O112" s="15"/>
    </row>
    <row r="113" spans="1:15" x14ac:dyDescent="0.25">
      <c r="A113" s="20" t="str">
        <f t="shared" si="1"/>
        <v/>
      </c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  <c r="O113" s="15"/>
    </row>
    <row r="114" spans="1:15" x14ac:dyDescent="0.25">
      <c r="A114" s="20" t="str">
        <f t="shared" si="1"/>
        <v/>
      </c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  <c r="O114" s="15"/>
    </row>
    <row r="115" spans="1:15" x14ac:dyDescent="0.25">
      <c r="A115" s="20" t="str">
        <f t="shared" si="1"/>
        <v/>
      </c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  <c r="O115" s="15"/>
    </row>
    <row r="116" spans="1:15" x14ac:dyDescent="0.25">
      <c r="A116" s="20" t="str">
        <f t="shared" si="1"/>
        <v/>
      </c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  <c r="O116" s="15"/>
    </row>
    <row r="117" spans="1:15" x14ac:dyDescent="0.25">
      <c r="A117" s="20" t="str">
        <f t="shared" si="1"/>
        <v/>
      </c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  <c r="O117" s="15"/>
    </row>
    <row r="118" spans="1:15" x14ac:dyDescent="0.25">
      <c r="A118" s="20" t="str">
        <f t="shared" si="1"/>
        <v/>
      </c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  <c r="O118" s="15"/>
    </row>
    <row r="119" spans="1:15" x14ac:dyDescent="0.25">
      <c r="A119" s="20" t="str">
        <f t="shared" si="1"/>
        <v/>
      </c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  <c r="O119" s="15"/>
    </row>
    <row r="120" spans="1:15" x14ac:dyDescent="0.25">
      <c r="A120" s="20" t="str">
        <f t="shared" si="1"/>
        <v/>
      </c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  <c r="O120" s="15"/>
    </row>
    <row r="121" spans="1:15" x14ac:dyDescent="0.25">
      <c r="A121" s="20" t="str">
        <f t="shared" si="1"/>
        <v/>
      </c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  <c r="O121" s="15"/>
    </row>
    <row r="122" spans="1:15" x14ac:dyDescent="0.25">
      <c r="A122" s="20" t="str">
        <f t="shared" si="1"/>
        <v/>
      </c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  <c r="O122" s="15"/>
    </row>
    <row r="123" spans="1:15" x14ac:dyDescent="0.25">
      <c r="A123" s="20" t="str">
        <f t="shared" si="1"/>
        <v/>
      </c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  <c r="O123" s="15"/>
    </row>
    <row r="124" spans="1:15" x14ac:dyDescent="0.25">
      <c r="A124" s="20" t="str">
        <f t="shared" si="1"/>
        <v/>
      </c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  <c r="O124" s="15"/>
    </row>
    <row r="125" spans="1:15" x14ac:dyDescent="0.25">
      <c r="A125" s="20" t="str">
        <f t="shared" si="1"/>
        <v/>
      </c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  <c r="O125" s="15"/>
    </row>
    <row r="126" spans="1:15" x14ac:dyDescent="0.25">
      <c r="A126" s="20" t="str">
        <f t="shared" si="1"/>
        <v/>
      </c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  <c r="O126" s="15"/>
    </row>
    <row r="127" spans="1:15" x14ac:dyDescent="0.25">
      <c r="A127" s="20" t="str">
        <f t="shared" si="1"/>
        <v/>
      </c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  <c r="O127" s="15"/>
    </row>
    <row r="128" spans="1:15" x14ac:dyDescent="0.25">
      <c r="A128" s="20" t="str">
        <f t="shared" si="1"/>
        <v/>
      </c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  <c r="O128" s="15"/>
    </row>
    <row r="129" spans="1:15" x14ac:dyDescent="0.25">
      <c r="A129" s="20" t="str">
        <f t="shared" si="1"/>
        <v/>
      </c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  <c r="O129" s="15"/>
    </row>
    <row r="130" spans="1:15" x14ac:dyDescent="0.25">
      <c r="A130" s="20" t="str">
        <f t="shared" ref="A130:A193" si="2">IF(AND(B130="",D130=""),"",ROW()-1)</f>
        <v/>
      </c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  <c r="O130" s="15"/>
    </row>
    <row r="131" spans="1:15" x14ac:dyDescent="0.25">
      <c r="A131" s="20" t="str">
        <f t="shared" si="2"/>
        <v/>
      </c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  <c r="O131" s="15"/>
    </row>
    <row r="132" spans="1:15" x14ac:dyDescent="0.25">
      <c r="A132" s="20" t="str">
        <f t="shared" si="2"/>
        <v/>
      </c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  <c r="O132" s="15"/>
    </row>
    <row r="133" spans="1:15" x14ac:dyDescent="0.25">
      <c r="A133" s="20" t="str">
        <f t="shared" si="2"/>
        <v/>
      </c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  <c r="O133" s="15"/>
    </row>
    <row r="134" spans="1:15" x14ac:dyDescent="0.25">
      <c r="A134" s="20" t="str">
        <f t="shared" si="2"/>
        <v/>
      </c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  <c r="O134" s="15"/>
    </row>
    <row r="135" spans="1:15" x14ac:dyDescent="0.25">
      <c r="A135" s="20" t="str">
        <f t="shared" si="2"/>
        <v/>
      </c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  <c r="O135" s="15"/>
    </row>
    <row r="136" spans="1:15" x14ac:dyDescent="0.25">
      <c r="A136" s="20" t="str">
        <f t="shared" si="2"/>
        <v/>
      </c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  <c r="O136" s="15"/>
    </row>
    <row r="137" spans="1:15" x14ac:dyDescent="0.25">
      <c r="A137" s="20" t="str">
        <f t="shared" si="2"/>
        <v/>
      </c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  <c r="O137" s="15"/>
    </row>
    <row r="138" spans="1:15" x14ac:dyDescent="0.25">
      <c r="A138" s="20" t="str">
        <f t="shared" si="2"/>
        <v/>
      </c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  <c r="O138" s="15"/>
    </row>
    <row r="139" spans="1:15" x14ac:dyDescent="0.25">
      <c r="A139" s="20" t="str">
        <f t="shared" si="2"/>
        <v/>
      </c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  <c r="O139" s="15"/>
    </row>
    <row r="140" spans="1:15" x14ac:dyDescent="0.25">
      <c r="A140" s="20" t="str">
        <f t="shared" si="2"/>
        <v/>
      </c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  <c r="O140" s="15"/>
    </row>
    <row r="141" spans="1:15" x14ac:dyDescent="0.25">
      <c r="A141" s="20" t="str">
        <f t="shared" si="2"/>
        <v/>
      </c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  <c r="O141" s="15"/>
    </row>
    <row r="142" spans="1:15" x14ac:dyDescent="0.25">
      <c r="A142" s="20" t="str">
        <f t="shared" si="2"/>
        <v/>
      </c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  <c r="O142" s="15"/>
    </row>
    <row r="143" spans="1:15" x14ac:dyDescent="0.25">
      <c r="A143" s="20" t="str">
        <f t="shared" si="2"/>
        <v/>
      </c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  <c r="O143" s="15"/>
    </row>
    <row r="144" spans="1:15" x14ac:dyDescent="0.25">
      <c r="A144" s="20" t="str">
        <f t="shared" si="2"/>
        <v/>
      </c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  <c r="O144" s="15"/>
    </row>
    <row r="145" spans="1:15" x14ac:dyDescent="0.25">
      <c r="A145" s="20" t="str">
        <f t="shared" si="2"/>
        <v/>
      </c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  <c r="O145" s="15"/>
    </row>
    <row r="146" spans="1:15" x14ac:dyDescent="0.25">
      <c r="A146" s="20" t="str">
        <f t="shared" si="2"/>
        <v/>
      </c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  <c r="O146" s="15"/>
    </row>
    <row r="147" spans="1:15" x14ac:dyDescent="0.25">
      <c r="A147" s="20" t="str">
        <f t="shared" si="2"/>
        <v/>
      </c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  <c r="O147" s="15"/>
    </row>
    <row r="148" spans="1:15" x14ac:dyDescent="0.25">
      <c r="A148" s="20" t="str">
        <f t="shared" si="2"/>
        <v/>
      </c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  <c r="O148" s="15"/>
    </row>
    <row r="149" spans="1:15" x14ac:dyDescent="0.25">
      <c r="A149" s="20" t="str">
        <f t="shared" si="2"/>
        <v/>
      </c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  <c r="O149" s="15"/>
    </row>
    <row r="150" spans="1:15" x14ac:dyDescent="0.25">
      <c r="A150" s="20" t="str">
        <f t="shared" si="2"/>
        <v/>
      </c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  <c r="O150" s="15"/>
    </row>
    <row r="151" spans="1:15" x14ac:dyDescent="0.25">
      <c r="A151" s="20" t="str">
        <f t="shared" si="2"/>
        <v/>
      </c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  <c r="O151" s="15"/>
    </row>
    <row r="152" spans="1:15" x14ac:dyDescent="0.25">
      <c r="A152" s="20" t="str">
        <f t="shared" si="2"/>
        <v/>
      </c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  <c r="O152" s="15"/>
    </row>
    <row r="153" spans="1:15" x14ac:dyDescent="0.25">
      <c r="A153" s="20" t="str">
        <f t="shared" si="2"/>
        <v/>
      </c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  <c r="O153" s="15"/>
    </row>
    <row r="154" spans="1:15" x14ac:dyDescent="0.25">
      <c r="A154" s="20" t="str">
        <f t="shared" si="2"/>
        <v/>
      </c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  <c r="O154" s="15"/>
    </row>
    <row r="155" spans="1:15" x14ac:dyDescent="0.25">
      <c r="A155" s="20" t="str">
        <f t="shared" si="2"/>
        <v/>
      </c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  <c r="O155" s="15"/>
    </row>
    <row r="156" spans="1:15" x14ac:dyDescent="0.25">
      <c r="A156" s="20" t="str">
        <f t="shared" si="2"/>
        <v/>
      </c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  <c r="O156" s="15"/>
    </row>
    <row r="157" spans="1:15" x14ac:dyDescent="0.25">
      <c r="A157" s="20" t="str">
        <f t="shared" si="2"/>
        <v/>
      </c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  <c r="O157" s="15"/>
    </row>
    <row r="158" spans="1:15" x14ac:dyDescent="0.25">
      <c r="A158" s="20" t="str">
        <f t="shared" si="2"/>
        <v/>
      </c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  <c r="O158" s="15"/>
    </row>
    <row r="159" spans="1:15" x14ac:dyDescent="0.25">
      <c r="A159" s="20" t="str">
        <f t="shared" si="2"/>
        <v/>
      </c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  <c r="O159" s="15"/>
    </row>
    <row r="160" spans="1:15" x14ac:dyDescent="0.25">
      <c r="A160" s="20" t="str">
        <f t="shared" si="2"/>
        <v/>
      </c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  <c r="O160" s="15"/>
    </row>
    <row r="161" spans="1:15" x14ac:dyDescent="0.25">
      <c r="A161" s="20" t="str">
        <f t="shared" si="2"/>
        <v/>
      </c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  <c r="O161" s="15"/>
    </row>
    <row r="162" spans="1:15" x14ac:dyDescent="0.25">
      <c r="A162" s="20" t="str">
        <f t="shared" si="2"/>
        <v/>
      </c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  <c r="O162" s="15"/>
    </row>
    <row r="163" spans="1:15" x14ac:dyDescent="0.25">
      <c r="A163" s="20" t="str">
        <f t="shared" si="2"/>
        <v/>
      </c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  <c r="O163" s="15"/>
    </row>
    <row r="164" spans="1:15" x14ac:dyDescent="0.25">
      <c r="A164" s="20" t="str">
        <f t="shared" si="2"/>
        <v/>
      </c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  <c r="O164" s="15"/>
    </row>
    <row r="165" spans="1:15" x14ac:dyDescent="0.25">
      <c r="A165" s="20" t="str">
        <f t="shared" si="2"/>
        <v/>
      </c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  <c r="O165" s="15"/>
    </row>
    <row r="166" spans="1:15" x14ac:dyDescent="0.25">
      <c r="A166" s="20" t="str">
        <f t="shared" si="2"/>
        <v/>
      </c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  <c r="O166" s="15"/>
    </row>
    <row r="167" spans="1:15" x14ac:dyDescent="0.25">
      <c r="A167" s="20" t="str">
        <f t="shared" si="2"/>
        <v/>
      </c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  <c r="O167" s="15"/>
    </row>
    <row r="168" spans="1:15" x14ac:dyDescent="0.25">
      <c r="A168" s="20" t="str">
        <f t="shared" si="2"/>
        <v/>
      </c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  <c r="O168" s="15"/>
    </row>
    <row r="169" spans="1:15" x14ac:dyDescent="0.25">
      <c r="A169" s="20" t="str">
        <f t="shared" si="2"/>
        <v/>
      </c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  <c r="O169" s="15"/>
    </row>
    <row r="170" spans="1:15" x14ac:dyDescent="0.25">
      <c r="A170" s="20" t="str">
        <f t="shared" si="2"/>
        <v/>
      </c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  <c r="O170" s="15"/>
    </row>
    <row r="171" spans="1:15" x14ac:dyDescent="0.25">
      <c r="A171" s="20" t="str">
        <f t="shared" si="2"/>
        <v/>
      </c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  <c r="O171" s="15"/>
    </row>
    <row r="172" spans="1:15" x14ac:dyDescent="0.25">
      <c r="A172" s="20" t="str">
        <f t="shared" si="2"/>
        <v/>
      </c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  <c r="O172" s="15"/>
    </row>
    <row r="173" spans="1:15" x14ac:dyDescent="0.25">
      <c r="A173" s="20" t="str">
        <f t="shared" si="2"/>
        <v/>
      </c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  <c r="O173" s="15"/>
    </row>
    <row r="174" spans="1:15" x14ac:dyDescent="0.25">
      <c r="A174" s="20" t="str">
        <f t="shared" si="2"/>
        <v/>
      </c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  <c r="O174" s="15"/>
    </row>
    <row r="175" spans="1:15" x14ac:dyDescent="0.25">
      <c r="A175" s="20" t="str">
        <f t="shared" si="2"/>
        <v/>
      </c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  <c r="O175" s="15"/>
    </row>
    <row r="176" spans="1:15" x14ac:dyDescent="0.25">
      <c r="A176" s="20" t="str">
        <f t="shared" si="2"/>
        <v/>
      </c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  <c r="O176" s="15"/>
    </row>
    <row r="177" spans="1:15" x14ac:dyDescent="0.25">
      <c r="A177" s="20" t="str">
        <f t="shared" si="2"/>
        <v/>
      </c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  <c r="O177" s="15"/>
    </row>
    <row r="178" spans="1:15" x14ac:dyDescent="0.25">
      <c r="A178" s="20" t="str">
        <f t="shared" si="2"/>
        <v/>
      </c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  <c r="O178" s="15"/>
    </row>
    <row r="179" spans="1:15" x14ac:dyDescent="0.25">
      <c r="A179" s="20" t="str">
        <f t="shared" si="2"/>
        <v/>
      </c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  <c r="O179" s="15"/>
    </row>
    <row r="180" spans="1:15" x14ac:dyDescent="0.25">
      <c r="A180" s="20" t="str">
        <f t="shared" si="2"/>
        <v/>
      </c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  <c r="O180" s="15"/>
    </row>
    <row r="181" spans="1:15" x14ac:dyDescent="0.25">
      <c r="A181" s="20" t="str">
        <f t="shared" si="2"/>
        <v/>
      </c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  <c r="O181" s="15"/>
    </row>
    <row r="182" spans="1:15" x14ac:dyDescent="0.25">
      <c r="A182" s="20" t="str">
        <f t="shared" si="2"/>
        <v/>
      </c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  <c r="O182" s="15"/>
    </row>
    <row r="183" spans="1:15" x14ac:dyDescent="0.25">
      <c r="A183" s="20" t="str">
        <f t="shared" si="2"/>
        <v/>
      </c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  <c r="O183" s="15"/>
    </row>
    <row r="184" spans="1:15" x14ac:dyDescent="0.25">
      <c r="A184" s="20" t="str">
        <f t="shared" si="2"/>
        <v/>
      </c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  <c r="O184" s="15"/>
    </row>
    <row r="185" spans="1:15" x14ac:dyDescent="0.25">
      <c r="A185" s="20" t="str">
        <f t="shared" si="2"/>
        <v/>
      </c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  <c r="O185" s="15"/>
    </row>
    <row r="186" spans="1:15" x14ac:dyDescent="0.25">
      <c r="A186" s="20" t="str">
        <f t="shared" si="2"/>
        <v/>
      </c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  <c r="O186" s="15"/>
    </row>
    <row r="187" spans="1:15" x14ac:dyDescent="0.25">
      <c r="A187" s="20" t="str">
        <f t="shared" si="2"/>
        <v/>
      </c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  <c r="O187" s="15"/>
    </row>
    <row r="188" spans="1:15" x14ac:dyDescent="0.25">
      <c r="A188" s="20" t="str">
        <f t="shared" si="2"/>
        <v/>
      </c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  <c r="O188" s="15"/>
    </row>
    <row r="189" spans="1:15" x14ac:dyDescent="0.25">
      <c r="A189" s="20" t="str">
        <f t="shared" si="2"/>
        <v/>
      </c>
      <c r="B189" s="21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  <c r="O189" s="15"/>
    </row>
    <row r="190" spans="1:15" x14ac:dyDescent="0.25">
      <c r="A190" s="20" t="str">
        <f t="shared" si="2"/>
        <v/>
      </c>
      <c r="B190" s="21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  <c r="O190" s="15"/>
    </row>
    <row r="191" spans="1:15" x14ac:dyDescent="0.25">
      <c r="A191" s="20" t="str">
        <f t="shared" si="2"/>
        <v/>
      </c>
      <c r="B191" s="21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  <c r="O191" s="15"/>
    </row>
    <row r="192" spans="1:15" x14ac:dyDescent="0.25">
      <c r="A192" s="20" t="str">
        <f t="shared" si="2"/>
        <v/>
      </c>
      <c r="B192" s="21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  <c r="O192" s="15"/>
    </row>
    <row r="193" spans="1:15" x14ac:dyDescent="0.25">
      <c r="A193" s="20" t="str">
        <f t="shared" si="2"/>
        <v/>
      </c>
      <c r="B193" s="21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  <c r="O193" s="15"/>
    </row>
    <row r="194" spans="1:15" x14ac:dyDescent="0.25">
      <c r="A194" s="20" t="str">
        <f t="shared" ref="A194:A257" si="3">IF(AND(B194="",D194=""),"",ROW()-1)</f>
        <v/>
      </c>
      <c r="B194" s="21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  <c r="O194" s="15"/>
    </row>
    <row r="195" spans="1:15" x14ac:dyDescent="0.25">
      <c r="A195" s="20" t="str">
        <f t="shared" si="3"/>
        <v/>
      </c>
      <c r="B195" s="21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  <c r="O195" s="15"/>
    </row>
    <row r="196" spans="1:15" x14ac:dyDescent="0.25">
      <c r="A196" s="20" t="str">
        <f t="shared" si="3"/>
        <v/>
      </c>
      <c r="B196" s="21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  <c r="O196" s="15"/>
    </row>
    <row r="197" spans="1:15" x14ac:dyDescent="0.25">
      <c r="A197" s="20" t="str">
        <f t="shared" si="3"/>
        <v/>
      </c>
      <c r="B197" s="21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  <c r="O197" s="15"/>
    </row>
    <row r="198" spans="1:15" x14ac:dyDescent="0.25">
      <c r="A198" s="20" t="str">
        <f t="shared" si="3"/>
        <v/>
      </c>
      <c r="B198" s="21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  <c r="O198" s="15"/>
    </row>
    <row r="199" spans="1:15" x14ac:dyDescent="0.25">
      <c r="A199" s="20" t="str">
        <f t="shared" si="3"/>
        <v/>
      </c>
      <c r="B199" s="21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  <c r="O199" s="15"/>
    </row>
    <row r="200" spans="1:15" x14ac:dyDescent="0.25">
      <c r="A200" s="20" t="str">
        <f t="shared" si="3"/>
        <v/>
      </c>
      <c r="B200" s="21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  <c r="O200" s="15"/>
    </row>
    <row r="201" spans="1:15" x14ac:dyDescent="0.25">
      <c r="A201" s="20" t="str">
        <f t="shared" si="3"/>
        <v/>
      </c>
      <c r="B201" s="21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  <c r="O201" s="15"/>
    </row>
    <row r="202" spans="1:15" x14ac:dyDescent="0.25">
      <c r="A202" s="20" t="str">
        <f t="shared" si="3"/>
        <v/>
      </c>
      <c r="B202" s="21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  <c r="O202" s="15"/>
    </row>
    <row r="203" spans="1:15" x14ac:dyDescent="0.25">
      <c r="A203" s="20" t="str">
        <f t="shared" si="3"/>
        <v/>
      </c>
      <c r="B203" s="21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  <c r="O203" s="15"/>
    </row>
    <row r="204" spans="1:15" x14ac:dyDescent="0.25">
      <c r="A204" s="20" t="str">
        <f t="shared" si="3"/>
        <v/>
      </c>
      <c r="B204" s="21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  <c r="O204" s="15"/>
    </row>
    <row r="205" spans="1:15" x14ac:dyDescent="0.25">
      <c r="A205" s="20" t="str">
        <f t="shared" si="3"/>
        <v/>
      </c>
      <c r="B205" s="21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  <c r="O205" s="15"/>
    </row>
    <row r="206" spans="1:15" x14ac:dyDescent="0.25">
      <c r="A206" s="20" t="str">
        <f t="shared" si="3"/>
        <v/>
      </c>
      <c r="B206" s="21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  <c r="O206" s="15"/>
    </row>
    <row r="207" spans="1:15" x14ac:dyDescent="0.25">
      <c r="A207" s="20" t="str">
        <f t="shared" si="3"/>
        <v/>
      </c>
      <c r="B207" s="21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  <c r="O207" s="15"/>
    </row>
    <row r="208" spans="1:15" x14ac:dyDescent="0.25">
      <c r="A208" s="20" t="str">
        <f t="shared" si="3"/>
        <v/>
      </c>
      <c r="B208" s="21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  <c r="O208" s="15"/>
    </row>
    <row r="209" spans="1:15" x14ac:dyDescent="0.25">
      <c r="A209" s="20" t="str">
        <f t="shared" si="3"/>
        <v/>
      </c>
      <c r="B209" s="21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  <c r="O209" s="15"/>
    </row>
    <row r="210" spans="1:15" x14ac:dyDescent="0.25">
      <c r="A210" s="20" t="str">
        <f t="shared" si="3"/>
        <v/>
      </c>
      <c r="B210" s="21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  <c r="O210" s="15"/>
    </row>
    <row r="211" spans="1:15" x14ac:dyDescent="0.25">
      <c r="A211" s="20" t="str">
        <f t="shared" si="3"/>
        <v/>
      </c>
      <c r="B211" s="21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  <c r="O211" s="15"/>
    </row>
    <row r="212" spans="1:15" x14ac:dyDescent="0.25">
      <c r="A212" s="20" t="str">
        <f t="shared" si="3"/>
        <v/>
      </c>
      <c r="B212" s="21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  <c r="O212" s="15"/>
    </row>
    <row r="213" spans="1:15" x14ac:dyDescent="0.25">
      <c r="A213" s="20" t="str">
        <f t="shared" si="3"/>
        <v/>
      </c>
      <c r="B213" s="21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  <c r="O213" s="15"/>
    </row>
    <row r="214" spans="1:15" x14ac:dyDescent="0.25">
      <c r="A214" s="20" t="str">
        <f t="shared" si="3"/>
        <v/>
      </c>
      <c r="B214" s="21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  <c r="O214" s="15"/>
    </row>
    <row r="215" spans="1:15" x14ac:dyDescent="0.25">
      <c r="A215" s="20" t="str">
        <f t="shared" si="3"/>
        <v/>
      </c>
      <c r="B215" s="21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  <c r="O215" s="15"/>
    </row>
    <row r="216" spans="1:15" x14ac:dyDescent="0.25">
      <c r="A216" s="20" t="str">
        <f t="shared" si="3"/>
        <v/>
      </c>
      <c r="B216" s="21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  <c r="O216" s="15"/>
    </row>
    <row r="217" spans="1:15" x14ac:dyDescent="0.25">
      <c r="A217" s="20" t="str">
        <f t="shared" si="3"/>
        <v/>
      </c>
      <c r="B217" s="21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  <c r="O217" s="15"/>
    </row>
    <row r="218" spans="1:15" x14ac:dyDescent="0.25">
      <c r="A218" s="20" t="str">
        <f t="shared" si="3"/>
        <v/>
      </c>
      <c r="B218" s="21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  <c r="O218" s="15"/>
    </row>
    <row r="219" spans="1:15" x14ac:dyDescent="0.25">
      <c r="A219" s="20" t="str">
        <f t="shared" si="3"/>
        <v/>
      </c>
      <c r="B219" s="21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  <c r="O219" s="15"/>
    </row>
    <row r="220" spans="1:15" x14ac:dyDescent="0.25">
      <c r="A220" s="20" t="str">
        <f t="shared" si="3"/>
        <v/>
      </c>
      <c r="B220" s="21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  <c r="O220" s="15"/>
    </row>
    <row r="221" spans="1:15" x14ac:dyDescent="0.25">
      <c r="A221" s="20" t="str">
        <f t="shared" si="3"/>
        <v/>
      </c>
      <c r="B221" s="21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  <c r="O221" s="15"/>
    </row>
    <row r="222" spans="1:15" x14ac:dyDescent="0.25">
      <c r="A222" s="20" t="str">
        <f t="shared" si="3"/>
        <v/>
      </c>
      <c r="B222" s="21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  <c r="O222" s="15"/>
    </row>
    <row r="223" spans="1:15" x14ac:dyDescent="0.25">
      <c r="A223" s="20" t="str">
        <f t="shared" si="3"/>
        <v/>
      </c>
      <c r="B223" s="21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  <c r="O223" s="15"/>
    </row>
    <row r="224" spans="1:15" x14ac:dyDescent="0.25">
      <c r="A224" s="20" t="str">
        <f t="shared" si="3"/>
        <v/>
      </c>
      <c r="B224" s="21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  <c r="O224" s="15"/>
    </row>
    <row r="225" spans="1:15" x14ac:dyDescent="0.25">
      <c r="A225" s="20" t="str">
        <f t="shared" si="3"/>
        <v/>
      </c>
      <c r="B225" s="21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  <c r="O225" s="15"/>
    </row>
    <row r="226" spans="1:15" x14ac:dyDescent="0.25">
      <c r="A226" s="20" t="str">
        <f t="shared" si="3"/>
        <v/>
      </c>
      <c r="B226" s="21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  <c r="O226" s="15"/>
    </row>
    <row r="227" spans="1:15" x14ac:dyDescent="0.25">
      <c r="A227" s="20" t="str">
        <f t="shared" si="3"/>
        <v/>
      </c>
      <c r="B227" s="21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  <c r="O227" s="15"/>
    </row>
    <row r="228" spans="1:15" x14ac:dyDescent="0.25">
      <c r="A228" s="20" t="str">
        <f t="shared" si="3"/>
        <v/>
      </c>
      <c r="B228" s="21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  <c r="O228" s="15"/>
    </row>
    <row r="229" spans="1:15" x14ac:dyDescent="0.25">
      <c r="A229" s="20" t="str">
        <f t="shared" si="3"/>
        <v/>
      </c>
      <c r="B229" s="21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  <c r="O229" s="15"/>
    </row>
    <row r="230" spans="1:15" x14ac:dyDescent="0.25">
      <c r="A230" s="20" t="str">
        <f t="shared" si="3"/>
        <v/>
      </c>
      <c r="B230" s="21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  <c r="O230" s="15"/>
    </row>
    <row r="231" spans="1:15" x14ac:dyDescent="0.25">
      <c r="A231" s="20" t="str">
        <f t="shared" si="3"/>
        <v/>
      </c>
      <c r="B231" s="21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  <c r="O231" s="15"/>
    </row>
    <row r="232" spans="1:15" x14ac:dyDescent="0.25">
      <c r="A232" s="20" t="str">
        <f t="shared" si="3"/>
        <v/>
      </c>
      <c r="B232" s="21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  <c r="O232" s="15"/>
    </row>
    <row r="233" spans="1:15" x14ac:dyDescent="0.25">
      <c r="A233" s="20" t="str">
        <f t="shared" si="3"/>
        <v/>
      </c>
      <c r="B233" s="21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  <c r="O233" s="15"/>
    </row>
    <row r="234" spans="1:15" x14ac:dyDescent="0.25">
      <c r="A234" s="20" t="str">
        <f t="shared" si="3"/>
        <v/>
      </c>
      <c r="B234" s="21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  <c r="O234" s="15"/>
    </row>
    <row r="235" spans="1:15" x14ac:dyDescent="0.25">
      <c r="A235" s="20" t="str">
        <f t="shared" si="3"/>
        <v/>
      </c>
      <c r="B235" s="21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  <c r="O235" s="15"/>
    </row>
    <row r="236" spans="1:15" x14ac:dyDescent="0.25">
      <c r="A236" s="20" t="str">
        <f t="shared" si="3"/>
        <v/>
      </c>
      <c r="B236" s="21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  <c r="O236" s="15"/>
    </row>
    <row r="237" spans="1:15" x14ac:dyDescent="0.25">
      <c r="A237" s="20" t="str">
        <f t="shared" si="3"/>
        <v/>
      </c>
      <c r="B237" s="21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  <c r="O237" s="15"/>
    </row>
    <row r="238" spans="1:15" x14ac:dyDescent="0.25">
      <c r="A238" s="20" t="str">
        <f t="shared" si="3"/>
        <v/>
      </c>
      <c r="B238" s="21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  <c r="O238" s="15"/>
    </row>
    <row r="239" spans="1:15" x14ac:dyDescent="0.25">
      <c r="A239" s="20" t="str">
        <f t="shared" si="3"/>
        <v/>
      </c>
      <c r="B239" s="21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  <c r="O239" s="15"/>
    </row>
    <row r="240" spans="1:15" x14ac:dyDescent="0.25">
      <c r="A240" s="20" t="str">
        <f t="shared" si="3"/>
        <v/>
      </c>
      <c r="B240" s="21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  <c r="O240" s="15"/>
    </row>
    <row r="241" spans="1:15" x14ac:dyDescent="0.25">
      <c r="A241" s="20" t="str">
        <f t="shared" si="3"/>
        <v/>
      </c>
      <c r="B241" s="21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  <c r="O241" s="15"/>
    </row>
    <row r="242" spans="1:15" x14ac:dyDescent="0.25">
      <c r="A242" s="20" t="str">
        <f t="shared" si="3"/>
        <v/>
      </c>
      <c r="B242" s="21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  <c r="O242" s="15"/>
    </row>
    <row r="243" spans="1:15" x14ac:dyDescent="0.25">
      <c r="A243" s="20" t="str">
        <f t="shared" si="3"/>
        <v/>
      </c>
      <c r="B243" s="21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  <c r="O243" s="15"/>
    </row>
    <row r="244" spans="1:15" x14ac:dyDescent="0.25">
      <c r="A244" s="20" t="str">
        <f t="shared" si="3"/>
        <v/>
      </c>
      <c r="B244" s="21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  <c r="O244" s="15"/>
    </row>
    <row r="245" spans="1:15" x14ac:dyDescent="0.25">
      <c r="A245" s="20" t="str">
        <f t="shared" si="3"/>
        <v/>
      </c>
      <c r="B245" s="21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  <c r="O245" s="15"/>
    </row>
    <row r="246" spans="1:15" x14ac:dyDescent="0.25">
      <c r="A246" s="20" t="str">
        <f t="shared" si="3"/>
        <v/>
      </c>
      <c r="B246" s="21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  <c r="O246" s="15"/>
    </row>
    <row r="247" spans="1:15" x14ac:dyDescent="0.25">
      <c r="A247" s="20" t="str">
        <f t="shared" si="3"/>
        <v/>
      </c>
      <c r="B247" s="21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  <c r="O247" s="15"/>
    </row>
    <row r="248" spans="1:15" x14ac:dyDescent="0.25">
      <c r="A248" s="20" t="str">
        <f t="shared" si="3"/>
        <v/>
      </c>
      <c r="B248" s="21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  <c r="O248" s="15"/>
    </row>
    <row r="249" spans="1:15" x14ac:dyDescent="0.25">
      <c r="A249" s="20" t="str">
        <f t="shared" si="3"/>
        <v/>
      </c>
      <c r="B249" s="21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  <c r="O249" s="15"/>
    </row>
    <row r="250" spans="1:15" x14ac:dyDescent="0.25">
      <c r="A250" s="20" t="str">
        <f t="shared" si="3"/>
        <v/>
      </c>
      <c r="B250" s="21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  <c r="O250" s="15"/>
    </row>
    <row r="251" spans="1:15" x14ac:dyDescent="0.25">
      <c r="A251" s="20" t="str">
        <f t="shared" si="3"/>
        <v/>
      </c>
      <c r="B251" s="21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  <c r="O251" s="15"/>
    </row>
    <row r="252" spans="1:15" x14ac:dyDescent="0.25">
      <c r="A252" s="20" t="str">
        <f t="shared" si="3"/>
        <v/>
      </c>
      <c r="B252" s="21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  <c r="O252" s="15"/>
    </row>
    <row r="253" spans="1:15" x14ac:dyDescent="0.25">
      <c r="A253" s="20" t="str">
        <f t="shared" si="3"/>
        <v/>
      </c>
      <c r="B253" s="21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  <c r="O253" s="15"/>
    </row>
    <row r="254" spans="1:15" x14ac:dyDescent="0.25">
      <c r="A254" s="20" t="str">
        <f t="shared" si="3"/>
        <v/>
      </c>
      <c r="B254" s="21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  <c r="O254" s="15"/>
    </row>
    <row r="255" spans="1:15" x14ac:dyDescent="0.25">
      <c r="A255" s="20" t="str">
        <f t="shared" si="3"/>
        <v/>
      </c>
      <c r="B255" s="21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  <c r="O255" s="15"/>
    </row>
    <row r="256" spans="1:15" x14ac:dyDescent="0.25">
      <c r="A256" s="20" t="str">
        <f t="shared" si="3"/>
        <v/>
      </c>
      <c r="B256" s="21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  <c r="O256" s="15"/>
    </row>
    <row r="257" spans="1:15" x14ac:dyDescent="0.25">
      <c r="A257" s="20" t="str">
        <f t="shared" si="3"/>
        <v/>
      </c>
      <c r="B257" s="21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  <c r="O257" s="15"/>
    </row>
    <row r="258" spans="1:15" x14ac:dyDescent="0.25">
      <c r="A258" s="20" t="str">
        <f t="shared" ref="A258:A321" si="4">IF(AND(B258="",D258=""),"",ROW()-1)</f>
        <v/>
      </c>
      <c r="B258" s="21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  <c r="O258" s="15"/>
    </row>
    <row r="259" spans="1:15" x14ac:dyDescent="0.25">
      <c r="A259" s="20" t="str">
        <f t="shared" si="4"/>
        <v/>
      </c>
      <c r="B259" s="21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  <c r="O259" s="15"/>
    </row>
    <row r="260" spans="1:15" x14ac:dyDescent="0.25">
      <c r="A260" s="20" t="str">
        <f t="shared" si="4"/>
        <v/>
      </c>
      <c r="B260" s="21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  <c r="O260" s="15"/>
    </row>
    <row r="261" spans="1:15" x14ac:dyDescent="0.25">
      <c r="A261" s="20" t="str">
        <f t="shared" si="4"/>
        <v/>
      </c>
      <c r="B261" s="21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  <c r="O261" s="15"/>
    </row>
    <row r="262" spans="1:15" x14ac:dyDescent="0.25">
      <c r="A262" s="20" t="str">
        <f t="shared" si="4"/>
        <v/>
      </c>
      <c r="B262" s="21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  <c r="O262" s="15"/>
    </row>
    <row r="263" spans="1:15" x14ac:dyDescent="0.25">
      <c r="A263" s="20" t="str">
        <f t="shared" si="4"/>
        <v/>
      </c>
      <c r="B263" s="21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  <c r="O263" s="15"/>
    </row>
    <row r="264" spans="1:15" x14ac:dyDescent="0.25">
      <c r="A264" s="20" t="str">
        <f t="shared" si="4"/>
        <v/>
      </c>
      <c r="B264" s="21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  <c r="O264" s="15"/>
    </row>
    <row r="265" spans="1:15" x14ac:dyDescent="0.25">
      <c r="A265" s="20" t="str">
        <f t="shared" si="4"/>
        <v/>
      </c>
      <c r="B265" s="21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  <c r="O265" s="15"/>
    </row>
    <row r="266" spans="1:15" x14ac:dyDescent="0.25">
      <c r="A266" s="20" t="str">
        <f t="shared" si="4"/>
        <v/>
      </c>
      <c r="B266" s="21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  <c r="O266" s="15"/>
    </row>
    <row r="267" spans="1:15" x14ac:dyDescent="0.25">
      <c r="A267" s="20" t="str">
        <f t="shared" si="4"/>
        <v/>
      </c>
      <c r="B267" s="21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  <c r="O267" s="15"/>
    </row>
    <row r="268" spans="1:15" x14ac:dyDescent="0.25">
      <c r="A268" s="20" t="str">
        <f t="shared" si="4"/>
        <v/>
      </c>
      <c r="B268" s="21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  <c r="O268" s="15"/>
    </row>
    <row r="269" spans="1:15" x14ac:dyDescent="0.25">
      <c r="A269" s="20" t="str">
        <f t="shared" si="4"/>
        <v/>
      </c>
      <c r="B269" s="21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  <c r="O269" s="15"/>
    </row>
    <row r="270" spans="1:15" x14ac:dyDescent="0.25">
      <c r="A270" s="20" t="str">
        <f t="shared" si="4"/>
        <v/>
      </c>
      <c r="B270" s="21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  <c r="O270" s="15"/>
    </row>
    <row r="271" spans="1:15" x14ac:dyDescent="0.25">
      <c r="A271" s="20" t="str">
        <f t="shared" si="4"/>
        <v/>
      </c>
      <c r="B271" s="21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  <c r="O271" s="15"/>
    </row>
    <row r="272" spans="1:15" x14ac:dyDescent="0.25">
      <c r="A272" s="20" t="str">
        <f t="shared" si="4"/>
        <v/>
      </c>
      <c r="B272" s="21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  <c r="O272" s="15"/>
    </row>
    <row r="273" spans="1:15" x14ac:dyDescent="0.25">
      <c r="A273" s="20" t="str">
        <f t="shared" si="4"/>
        <v/>
      </c>
      <c r="B273" s="21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  <c r="O273" s="15"/>
    </row>
    <row r="274" spans="1:15" x14ac:dyDescent="0.25">
      <c r="A274" s="20" t="str">
        <f t="shared" si="4"/>
        <v/>
      </c>
      <c r="B274" s="21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  <c r="O274" s="15"/>
    </row>
    <row r="275" spans="1:15" x14ac:dyDescent="0.25">
      <c r="A275" s="20" t="str">
        <f t="shared" si="4"/>
        <v/>
      </c>
      <c r="B275" s="21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  <c r="O275" s="15"/>
    </row>
    <row r="276" spans="1:15" x14ac:dyDescent="0.25">
      <c r="A276" s="20" t="str">
        <f t="shared" si="4"/>
        <v/>
      </c>
      <c r="B276" s="21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  <c r="O276" s="15"/>
    </row>
    <row r="277" spans="1:15" x14ac:dyDescent="0.25">
      <c r="A277" s="20" t="str">
        <f t="shared" si="4"/>
        <v/>
      </c>
      <c r="B277" s="21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  <c r="O277" s="15"/>
    </row>
    <row r="278" spans="1:15" x14ac:dyDescent="0.25">
      <c r="A278" s="20" t="str">
        <f t="shared" si="4"/>
        <v/>
      </c>
      <c r="B278" s="21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  <c r="O278" s="15"/>
    </row>
    <row r="279" spans="1:15" x14ac:dyDescent="0.25">
      <c r="A279" s="20" t="str">
        <f t="shared" si="4"/>
        <v/>
      </c>
      <c r="B279" s="21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  <c r="O279" s="15"/>
    </row>
    <row r="280" spans="1:15" x14ac:dyDescent="0.25">
      <c r="A280" s="20" t="str">
        <f t="shared" si="4"/>
        <v/>
      </c>
      <c r="B280" s="21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  <c r="O280" s="15"/>
    </row>
    <row r="281" spans="1:15" x14ac:dyDescent="0.25">
      <c r="A281" s="20" t="str">
        <f t="shared" si="4"/>
        <v/>
      </c>
      <c r="B281" s="21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  <c r="O281" s="15"/>
    </row>
    <row r="282" spans="1:15" x14ac:dyDescent="0.25">
      <c r="A282" s="20" t="str">
        <f t="shared" si="4"/>
        <v/>
      </c>
      <c r="B282" s="21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  <c r="O282" s="15"/>
    </row>
    <row r="283" spans="1:15" x14ac:dyDescent="0.25">
      <c r="A283" s="20" t="str">
        <f t="shared" si="4"/>
        <v/>
      </c>
      <c r="B283" s="21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  <c r="O283" s="15"/>
    </row>
    <row r="284" spans="1:15" x14ac:dyDescent="0.25">
      <c r="A284" s="20" t="str">
        <f t="shared" si="4"/>
        <v/>
      </c>
      <c r="B284" s="21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  <c r="O284" s="15"/>
    </row>
    <row r="285" spans="1:15" x14ac:dyDescent="0.25">
      <c r="A285" s="20" t="str">
        <f t="shared" si="4"/>
        <v/>
      </c>
      <c r="B285" s="21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  <c r="O285" s="15"/>
    </row>
    <row r="286" spans="1:15" x14ac:dyDescent="0.25">
      <c r="A286" s="20" t="str">
        <f t="shared" si="4"/>
        <v/>
      </c>
      <c r="B286" s="21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  <c r="O286" s="15"/>
    </row>
    <row r="287" spans="1:15" x14ac:dyDescent="0.25">
      <c r="A287" s="20" t="str">
        <f t="shared" si="4"/>
        <v/>
      </c>
      <c r="B287" s="21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  <c r="O287" s="15"/>
    </row>
    <row r="288" spans="1:15" x14ac:dyDescent="0.25">
      <c r="A288" s="20" t="str">
        <f t="shared" si="4"/>
        <v/>
      </c>
      <c r="B288" s="21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  <c r="O288" s="15"/>
    </row>
    <row r="289" spans="1:15" x14ac:dyDescent="0.25">
      <c r="A289" s="20" t="str">
        <f t="shared" si="4"/>
        <v/>
      </c>
      <c r="B289" s="21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  <c r="O289" s="15"/>
    </row>
    <row r="290" spans="1:15" x14ac:dyDescent="0.25">
      <c r="A290" s="20" t="str">
        <f t="shared" si="4"/>
        <v/>
      </c>
      <c r="B290" s="21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  <c r="O290" s="15"/>
    </row>
    <row r="291" spans="1:15" x14ac:dyDescent="0.25">
      <c r="A291" s="20" t="str">
        <f t="shared" si="4"/>
        <v/>
      </c>
      <c r="B291" s="21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  <c r="O291" s="15"/>
    </row>
    <row r="292" spans="1:15" x14ac:dyDescent="0.25">
      <c r="A292" s="20" t="str">
        <f t="shared" si="4"/>
        <v/>
      </c>
      <c r="B292" s="21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  <c r="O292" s="15"/>
    </row>
    <row r="293" spans="1:15" x14ac:dyDescent="0.25">
      <c r="A293" s="20" t="str">
        <f t="shared" si="4"/>
        <v/>
      </c>
      <c r="B293" s="21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  <c r="O293" s="15"/>
    </row>
    <row r="294" spans="1:15" x14ac:dyDescent="0.25">
      <c r="A294" s="20" t="str">
        <f t="shared" si="4"/>
        <v/>
      </c>
      <c r="B294" s="21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  <c r="O294" s="15"/>
    </row>
    <row r="295" spans="1:15" x14ac:dyDescent="0.25">
      <c r="A295" s="20" t="str">
        <f t="shared" si="4"/>
        <v/>
      </c>
      <c r="B295" s="21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  <c r="O295" s="15"/>
    </row>
    <row r="296" spans="1:15" x14ac:dyDescent="0.25">
      <c r="A296" s="20" t="str">
        <f t="shared" si="4"/>
        <v/>
      </c>
      <c r="B296" s="21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  <c r="O296" s="15"/>
    </row>
    <row r="297" spans="1:15" x14ac:dyDescent="0.25">
      <c r="A297" s="20" t="str">
        <f t="shared" si="4"/>
        <v/>
      </c>
      <c r="B297" s="21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  <c r="O297" s="15"/>
    </row>
    <row r="298" spans="1:15" x14ac:dyDescent="0.25">
      <c r="A298" s="20" t="str">
        <f t="shared" si="4"/>
        <v/>
      </c>
      <c r="B298" s="21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  <c r="O298" s="15"/>
    </row>
    <row r="299" spans="1:15" x14ac:dyDescent="0.25">
      <c r="A299" s="20" t="str">
        <f t="shared" si="4"/>
        <v/>
      </c>
      <c r="B299" s="21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  <c r="O299" s="15"/>
    </row>
    <row r="300" spans="1:15" x14ac:dyDescent="0.25">
      <c r="A300" s="20" t="str">
        <f t="shared" si="4"/>
        <v/>
      </c>
      <c r="B300" s="21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  <c r="O300" s="15"/>
    </row>
    <row r="301" spans="1:15" x14ac:dyDescent="0.25">
      <c r="A301" s="20" t="str">
        <f t="shared" si="4"/>
        <v/>
      </c>
      <c r="B301" s="21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  <c r="O301" s="15"/>
    </row>
  </sheetData>
  <autoFilter ref="A1:O301" xr:uid="{00000000-0009-0000-0000-000002000000}"/>
  <conditionalFormatting sqref="B2:O301">
    <cfRule type="expression" dxfId="4" priority="1" stopIfTrue="1">
      <formula>OR(AND($B2&lt;&gt;"",$D2=""),AND($D2&lt;&gt;"",$B2=""),AND($H2="Sí",$F2&lt;&gt;"GAM",$F2&lt;&gt;"Fuera de GAM"),AND($J2="Sí",$H2&lt;&gt;"Sí"),AND($K2="Sí",$J2&lt;&gt;"Sí"),AND($K2="Sí",$L2=""),AND($L2&lt;&gt;"",$K2&lt;&gt;"Sí"),AND($D2&lt;&gt;"",$C2=""))</formula>
    </cfRule>
    <cfRule type="expression" dxfId="3" priority="2">
      <formula>$G2="Sí"</formula>
    </cfRule>
  </conditionalFormatting>
  <dataValidations count="14">
    <dataValidation type="date" allowBlank="1" showInputMessage="1" showErrorMessage="1" errorTitle="Fecha no válida" error="Escribí la fecha como dd/mm/aaaa." promptTitle="Fecha" prompt="Día en que la persona escribió por primera vez (dd/mm/aaaa)." sqref="B2:B301" xr:uid="{00000000-0002-0000-0200-000000000000}">
      <formula1>DATE(2026,1,1)</formula1>
      <formula2>DATE(2030,12,31)</formula2>
    </dataValidation>
    <dataValidation type="list" allowBlank="1" showInputMessage="1" showErrorMessage="1" errorTitle="Valor no válido" error="Elegí un canal de la lista." promptTitle="Canal de origen" prompt="Dónde vio la publicación por primera vez (no por dónde escribe). Marketplace aunque escriba por Messenger. Si no lo dijo: No dijo." sqref="C2:C301" xr:uid="{00000000-0002-0000-0200-000001000000}">
      <formula1>"Instagram,Facebook (página),Facebook Marketplace,Grupo de Facebook,TikTok,Estado de WhatsApp,Anuncio pagado (Meta),Recomendación,Otro,No dijo"</formula1>
    </dataValidation>
    <dataValidation type="list" allowBlank="1" showInputMessage="1" showErrorMessage="1" errorTitle="Valor no válido" error="Elegí un código de la lista: GAME1, GAME2, RETRO1, RGB1, OTRO o SIN CODIGO." promptTitle="Código de pieza" prompt="La pieza de la que viene. Sin código ni publicación identificada (aunque diga el canal o una recomendación): SIN CODIGO. Marketplace, grupo, estado, clip o anuncio con foto: OTRO." sqref="D2:D301" xr:uid="{00000000-0002-0000-0200-000002000000}">
      <formula1>"GAME1,GAME2,RETRO1,RGB1,OTRO,SIN CODIGO"</formula1>
    </dataValidation>
    <dataValidation type="list" errorStyle="warning" allowBlank="1" showInputMessage="1" showErrorMessage="1" errorTitle="Producto fuera de la lista" error="Ese producto no está en la lista. Si es otro producto que vendés, aceptá para dejarlo escrito (nombre corto, sin datos personales)." promptTitle="Producto consultado" prompt="Elegí de la lista o escribí el producto que preguntó (nombre corto o modelo). Puede no coincidir con el video que vio." sqref="E2:E301" xr:uid="{00000000-0002-0000-0200-000003000000}">
      <formula1>"Audífonos gaming,Consola retro,Mouse o periférico,Otro producto,No dijo"</formula1>
    </dataValidation>
    <dataValidation type="list" allowBlank="1" showInputMessage="1" showErrorMessage="1" errorTitle="Valor no válido" error="Elegí GAM, Fuera de GAM o No dijo." promptTitle="Zona" prompt="Solo GAM, Fuera de GAM o No dijo. NUNCA la dirección." sqref="F2:F301" xr:uid="{00000000-0002-0000-0200-000004000000}">
      <formula1>"GAM,Fuera de GAM,No dijo"</formula1>
    </dataValidation>
    <dataValidation type="list" allowBlank="1" showInputMessage="1" showErrorMessage="1" errorTitle="Valor no válido" error="Elegí Sí o No." promptTitle="¿Consulta repetida?" prompt="Sí si la misma persona ya tenía una fila por lo mismo. Actualizá la fila original; esta no se cuenta." sqref="G2:G301" xr:uid="{00000000-0002-0000-0200-000005000000}">
      <formula1>"Sí,No"</formula1>
    </dataValidation>
    <dataValidation type="list" allowBlank="1" showInputMessage="1" showErrorMessage="1" errorTitle="Valor no válido" error="Elegí Sí o No." promptTitle="Cualificada" prompt="Sí solo si dijo producto o necesidad Y zona de entrega." sqref="H2:H301" xr:uid="{00000000-0002-0000-0200-000006000000}">
      <formula1>"Sí,No"</formula1>
    </dataValidation>
    <dataValidation type="list" allowBlank="1" showInputMessage="1" showErrorMessage="1" errorTitle="Valor no válido" error="Elegí Sí o No." promptTitle="Cotizada" prompt="Sí si le mandaste precio final con envío." sqref="I2:I301" xr:uid="{00000000-0002-0000-0200-000007000000}">
      <formula1>"Sí,No"</formula1>
    </dataValidation>
    <dataValidation type="list" allowBlank="1" showInputMessage="1" showErrorMessage="1" errorTitle="Valor no válido" error="Elegí Sí o No." promptTitle="Pedido confirmado" prompt="Sí si confirmó la compra. Todavía no es cobro." sqref="J2:J301" xr:uid="{00000000-0002-0000-0200-000008000000}">
      <formula1>"Sí,No"</formula1>
    </dataValidation>
    <dataValidation type="list" allowBlank="1" showInputMessage="1" showErrorMessage="1" errorTitle="Valor no válido" error="Elegí Sí o No." promptTitle="Cobrado" prompt="Sí solo cuando el pago entró. Anotá el monto en la columna siguiente." sqref="K2:K301" xr:uid="{00000000-0002-0000-0200-000009000000}">
      <formula1>"Sí,No"</formula1>
    </dataValidation>
    <dataValidation type="decimal" operator="greaterThanOrEqual" allowBlank="1" showInputMessage="1" showErrorMessage="1" errorTitle="Monto no válido" error="Solo números en colones." promptTitle="Monto cobrado" prompt="Solo si Cobrado = Sí. Número en colones, sin ₡." sqref="L2:L301" xr:uid="{00000000-0002-0000-0200-00000A000000}">
      <formula1>0</formula1>
    </dataValidation>
    <dataValidation type="whole" operator="greaterThanOrEqual" allowBlank="1" showInputMessage="1" showErrorMessage="1" errorTitle="Minutos no válidos" error="Número entero de minutos." promptTitle="Minutos" prompt="Minutos desde que escribió hasta tu primera respuesta." sqref="M2:M301" xr:uid="{00000000-0002-0000-0200-00000B000000}">
      <formula1>0</formula1>
    </dataValidation>
    <dataValidation type="list" allowBlank="1" showInputMessage="1" showErrorMessage="1" errorTitle="Valor no válido" error="Elegí una objeción de la lista." promptTitle="Objeción principal" prompt="La duda o freno principal. Vacía si no hubo." sqref="N2:N301" xr:uid="{00000000-0002-0000-0200-00000C000000}">
      <formula1>"Precio,Compatibilidad,Envío,Garantía,Confianza,Stock,Otra"</formula1>
    </dataValidation>
    <dataValidation type="textLength" operator="lessThanOrEqual" allowBlank="1" showInputMessage="1" showErrorMessage="1" errorTitle="Nota muy larga" error="Máximo 150 caracteres." promptTitle="Nota breve" prompt="SIN nombres, teléfonos, direcciones ni capturas. Ej.: duda de compatibilidad con consola." sqref="O2:O301" xr:uid="{00000000-0002-0000-0200-00000D000000}">
      <formula1>150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6"/>
  <sheetViews>
    <sheetView showGridLines="0" workbookViewId="0"/>
  </sheetViews>
  <sheetFormatPr baseColWidth="10" defaultColWidth="9.140625" defaultRowHeight="15" x14ac:dyDescent="0.25"/>
  <cols>
    <col min="1" max="1" width="22" customWidth="1"/>
    <col min="2" max="6" width="12" customWidth="1"/>
    <col min="7" max="7" width="14" customWidth="1"/>
    <col min="8" max="8" width="16" customWidth="1"/>
    <col min="9" max="10" width="14" customWidth="1"/>
    <col min="11" max="11" width="16" customWidth="1"/>
    <col min="12" max="12" width="14" customWidth="1"/>
  </cols>
  <sheetData>
    <row r="1" spans="1:12" ht="18" x14ac:dyDescent="0.25">
      <c r="A1" s="1" t="s">
        <v>129</v>
      </c>
    </row>
    <row r="2" spans="1:12" x14ac:dyDescent="0.25">
      <c r="A2" s="2" t="s">
        <v>130</v>
      </c>
    </row>
    <row r="4" spans="1:12" x14ac:dyDescent="0.25">
      <c r="A4" s="25" t="s">
        <v>131</v>
      </c>
      <c r="B4" s="26"/>
      <c r="C4" s="2" t="s">
        <v>132</v>
      </c>
    </row>
    <row r="5" spans="1:12" x14ac:dyDescent="0.25">
      <c r="A5" s="25" t="s">
        <v>133</v>
      </c>
      <c r="B5" s="26"/>
      <c r="C5" s="2" t="s">
        <v>134</v>
      </c>
    </row>
    <row r="6" spans="1:12" x14ac:dyDescent="0.25">
      <c r="A6" s="25" t="s">
        <v>135</v>
      </c>
      <c r="B6" s="59" t="str">
        <f>IF(SUM(I98:I105)=0,"Sin inconsistencias detectadas en «Consultas».","Hay "&amp;SUM(I98:I105)&amp;" inconsistencias: revisá las filas en rojo de «Consultas» y el control al final de esta hoja.")</f>
        <v>Sin inconsistencias detectadas en «Consultas».</v>
      </c>
      <c r="C6" s="58"/>
      <c r="D6" s="58"/>
      <c r="E6" s="58"/>
      <c r="F6" s="58"/>
      <c r="G6" s="58"/>
      <c r="H6" s="58"/>
      <c r="I6" s="58"/>
      <c r="J6" s="58"/>
      <c r="K6" s="58"/>
    </row>
    <row r="8" spans="1:12" x14ac:dyDescent="0.25">
      <c r="A8" s="3" t="s">
        <v>136</v>
      </c>
    </row>
    <row r="9" spans="1:12" ht="44.1" customHeight="1" x14ac:dyDescent="0.25">
      <c r="A9" s="9" t="s">
        <v>87</v>
      </c>
      <c r="B9" s="9" t="s">
        <v>137</v>
      </c>
      <c r="C9" s="9" t="s">
        <v>138</v>
      </c>
      <c r="D9" s="9" t="s">
        <v>139</v>
      </c>
      <c r="E9" s="9" t="s">
        <v>140</v>
      </c>
      <c r="F9" s="9" t="s">
        <v>141</v>
      </c>
      <c r="G9" s="9" t="s">
        <v>142</v>
      </c>
      <c r="H9" s="27" t="s">
        <v>143</v>
      </c>
      <c r="I9" s="9" t="s">
        <v>144</v>
      </c>
      <c r="J9" s="9" t="s">
        <v>145</v>
      </c>
      <c r="K9" s="9" t="s">
        <v>146</v>
      </c>
      <c r="L9" s="9" t="s">
        <v>74</v>
      </c>
    </row>
    <row r="10" spans="1:12" x14ac:dyDescent="0.25">
      <c r="A10" s="28" t="s">
        <v>147</v>
      </c>
      <c r="B10" s="29">
        <f>COUNTIFS(Consultas!$D$2:$D$1000,$A10,Consultas!$G$2:$G$1000,"&lt;&gt;Sí",Consultas!$B$2:$B$1000,"&gt;="&amp;IF($B$4="",1,$B$4),Consultas!$B$2:$B$1000,"&lt;="&amp;IF($B$5="",2958465,$B$5))</f>
        <v>0</v>
      </c>
      <c r="C10" s="29">
        <f>COUNTIFS(Consultas!$D$2:$D$1000,$A10,Consultas!$G$2:$G$1000,"&lt;&gt;Sí",Consultas!$B$2:$B$1000,"&gt;="&amp;IF($B$4="",1,$B$4),Consultas!$B$2:$B$1000,"&lt;="&amp;IF($B$5="",2958465,$B$5),Consultas!$H$2:$H$1000,"Sí")</f>
        <v>0</v>
      </c>
      <c r="D10" s="29">
        <f>COUNTIFS(Consultas!$D$2:$D$1000,$A10,Consultas!$G$2:$G$1000,"&lt;&gt;Sí",Consultas!$B$2:$B$1000,"&gt;="&amp;IF($B$4="",1,$B$4),Consultas!$B$2:$B$1000,"&lt;="&amp;IF($B$5="",2958465,$B$5),Consultas!$I$2:$I$1000,"Sí")</f>
        <v>0</v>
      </c>
      <c r="E10" s="29">
        <f>COUNTIFS(Consultas!$D$2:$D$1000,$A10,Consultas!$G$2:$G$1000,"&lt;&gt;Sí",Consultas!$B$2:$B$1000,"&gt;="&amp;IF($B$4="",1,$B$4),Consultas!$B$2:$B$1000,"&lt;="&amp;IF($B$5="",2958465,$B$5),Consultas!$J$2:$J$1000,"Sí")</f>
        <v>0</v>
      </c>
      <c r="F10" s="29">
        <f>COUNTIFS(Consultas!$D$2:$D$1000,$A10,Consultas!$G$2:$G$1000,"&lt;&gt;Sí",Consultas!$B$2:$B$1000,"&gt;="&amp;IF($B$4="",1,$B$4),Consultas!$B$2:$B$1000,"&lt;="&amp;IF($B$5="",2958465,$B$5),Consultas!$K$2:$K$1000,"Sí")</f>
        <v>0</v>
      </c>
      <c r="G10" s="30">
        <f>SUMIFS(Consultas!$L$2:$L$1000,Consultas!$D$2:$D$1000,$A10,Consultas!$G$2:$G$1000,"&lt;&gt;Sí",Consultas!$B$2:$B$1000,"&gt;="&amp;IF($B$4="",1,$B$4),Consultas!$B$2:$B$1000,"&lt;="&amp;IF($B$5="",2958465,$B$5),Consultas!$K$2:$K$1000,"Sí")</f>
        <v>0</v>
      </c>
      <c r="H10" s="31"/>
      <c r="I10" s="32" t="str">
        <f t="shared" ref="I10:I16" si="0">IF(B10=0,"NO CALCULABLE",C10/B10)</f>
        <v>NO CALCULABLE</v>
      </c>
      <c r="J10" s="32" t="str">
        <f t="shared" ref="J10:J16" si="1">IF(C10=0,"NO CALCULABLE",E10/C10)</f>
        <v>NO CALCULABLE</v>
      </c>
      <c r="K10" s="33" t="str">
        <f t="shared" ref="K10:K15" si="2">IF(C10=0,"NO CALCULABLE",IF(N(H10)&lt;=0,"SIN PAUTA",H10/C10))</f>
        <v>NO CALCULABLE</v>
      </c>
      <c r="L10" s="34" t="str">
        <f>IF(N($E$26)=0,"NO CALCULABLE",C10/$E$26)</f>
        <v>NO CALCULABLE</v>
      </c>
    </row>
    <row r="11" spans="1:12" x14ac:dyDescent="0.25">
      <c r="A11" s="28" t="s">
        <v>148</v>
      </c>
      <c r="B11" s="29">
        <f>COUNTIFS(Consultas!$D$2:$D$1000,$A11,Consultas!$G$2:$G$1000,"&lt;&gt;Sí",Consultas!$B$2:$B$1000,"&gt;="&amp;IF($B$4="",1,$B$4),Consultas!$B$2:$B$1000,"&lt;="&amp;IF($B$5="",2958465,$B$5))</f>
        <v>0</v>
      </c>
      <c r="C11" s="29">
        <f>COUNTIFS(Consultas!$D$2:$D$1000,$A11,Consultas!$G$2:$G$1000,"&lt;&gt;Sí",Consultas!$B$2:$B$1000,"&gt;="&amp;IF($B$4="",1,$B$4),Consultas!$B$2:$B$1000,"&lt;="&amp;IF($B$5="",2958465,$B$5),Consultas!$H$2:$H$1000,"Sí")</f>
        <v>0</v>
      </c>
      <c r="D11" s="29">
        <f>COUNTIFS(Consultas!$D$2:$D$1000,$A11,Consultas!$G$2:$G$1000,"&lt;&gt;Sí",Consultas!$B$2:$B$1000,"&gt;="&amp;IF($B$4="",1,$B$4),Consultas!$B$2:$B$1000,"&lt;="&amp;IF($B$5="",2958465,$B$5),Consultas!$I$2:$I$1000,"Sí")</f>
        <v>0</v>
      </c>
      <c r="E11" s="29">
        <f>COUNTIFS(Consultas!$D$2:$D$1000,$A11,Consultas!$G$2:$G$1000,"&lt;&gt;Sí",Consultas!$B$2:$B$1000,"&gt;="&amp;IF($B$4="",1,$B$4),Consultas!$B$2:$B$1000,"&lt;="&amp;IF($B$5="",2958465,$B$5),Consultas!$J$2:$J$1000,"Sí")</f>
        <v>0</v>
      </c>
      <c r="F11" s="29">
        <f>COUNTIFS(Consultas!$D$2:$D$1000,$A11,Consultas!$G$2:$G$1000,"&lt;&gt;Sí",Consultas!$B$2:$B$1000,"&gt;="&amp;IF($B$4="",1,$B$4),Consultas!$B$2:$B$1000,"&lt;="&amp;IF($B$5="",2958465,$B$5),Consultas!$K$2:$K$1000,"Sí")</f>
        <v>0</v>
      </c>
      <c r="G11" s="30">
        <f>SUMIFS(Consultas!$L$2:$L$1000,Consultas!$D$2:$D$1000,$A11,Consultas!$G$2:$G$1000,"&lt;&gt;Sí",Consultas!$B$2:$B$1000,"&gt;="&amp;IF($B$4="",1,$B$4),Consultas!$B$2:$B$1000,"&lt;="&amp;IF($B$5="",2958465,$B$5),Consultas!$K$2:$K$1000,"Sí")</f>
        <v>0</v>
      </c>
      <c r="H11" s="31"/>
      <c r="I11" s="32" t="str">
        <f t="shared" si="0"/>
        <v>NO CALCULABLE</v>
      </c>
      <c r="J11" s="32" t="str">
        <f t="shared" si="1"/>
        <v>NO CALCULABLE</v>
      </c>
      <c r="K11" s="33" t="str">
        <f t="shared" si="2"/>
        <v>NO CALCULABLE</v>
      </c>
      <c r="L11" s="34" t="str">
        <f>IF(N($E$27)=0,"NO CALCULABLE",C11/$E$27)</f>
        <v>NO CALCULABLE</v>
      </c>
    </row>
    <row r="12" spans="1:12" x14ac:dyDescent="0.25">
      <c r="A12" s="28" t="s">
        <v>19</v>
      </c>
      <c r="B12" s="29">
        <f>COUNTIFS(Consultas!$D$2:$D$1000,$A12,Consultas!$G$2:$G$1000,"&lt;&gt;Sí",Consultas!$B$2:$B$1000,"&gt;="&amp;IF($B$4="",1,$B$4),Consultas!$B$2:$B$1000,"&lt;="&amp;IF($B$5="",2958465,$B$5))</f>
        <v>0</v>
      </c>
      <c r="C12" s="29">
        <f>COUNTIFS(Consultas!$D$2:$D$1000,$A12,Consultas!$G$2:$G$1000,"&lt;&gt;Sí",Consultas!$B$2:$B$1000,"&gt;="&amp;IF($B$4="",1,$B$4),Consultas!$B$2:$B$1000,"&lt;="&amp;IF($B$5="",2958465,$B$5),Consultas!$H$2:$H$1000,"Sí")</f>
        <v>0</v>
      </c>
      <c r="D12" s="29">
        <f>COUNTIFS(Consultas!$D$2:$D$1000,$A12,Consultas!$G$2:$G$1000,"&lt;&gt;Sí",Consultas!$B$2:$B$1000,"&gt;="&amp;IF($B$4="",1,$B$4),Consultas!$B$2:$B$1000,"&lt;="&amp;IF($B$5="",2958465,$B$5),Consultas!$I$2:$I$1000,"Sí")</f>
        <v>0</v>
      </c>
      <c r="E12" s="29">
        <f>COUNTIFS(Consultas!$D$2:$D$1000,$A12,Consultas!$G$2:$G$1000,"&lt;&gt;Sí",Consultas!$B$2:$B$1000,"&gt;="&amp;IF($B$4="",1,$B$4),Consultas!$B$2:$B$1000,"&lt;="&amp;IF($B$5="",2958465,$B$5),Consultas!$J$2:$J$1000,"Sí")</f>
        <v>0</v>
      </c>
      <c r="F12" s="29">
        <f>COUNTIFS(Consultas!$D$2:$D$1000,$A12,Consultas!$G$2:$G$1000,"&lt;&gt;Sí",Consultas!$B$2:$B$1000,"&gt;="&amp;IF($B$4="",1,$B$4),Consultas!$B$2:$B$1000,"&lt;="&amp;IF($B$5="",2958465,$B$5),Consultas!$K$2:$K$1000,"Sí")</f>
        <v>0</v>
      </c>
      <c r="G12" s="30">
        <f>SUMIFS(Consultas!$L$2:$L$1000,Consultas!$D$2:$D$1000,$A12,Consultas!$G$2:$G$1000,"&lt;&gt;Sí",Consultas!$B$2:$B$1000,"&gt;="&amp;IF($B$4="",1,$B$4),Consultas!$B$2:$B$1000,"&lt;="&amp;IF($B$5="",2958465,$B$5),Consultas!$K$2:$K$1000,"Sí")</f>
        <v>0</v>
      </c>
      <c r="H12" s="31"/>
      <c r="I12" s="32" t="str">
        <f t="shared" si="0"/>
        <v>NO CALCULABLE</v>
      </c>
      <c r="J12" s="32" t="str">
        <f t="shared" si="1"/>
        <v>NO CALCULABLE</v>
      </c>
      <c r="K12" s="33" t="str">
        <f t="shared" si="2"/>
        <v>NO CALCULABLE</v>
      </c>
      <c r="L12" s="34" t="str">
        <f>IF(N($E$28)=0,"NO CALCULABLE",C12/$E$28)</f>
        <v>NO CALCULABLE</v>
      </c>
    </row>
    <row r="13" spans="1:12" x14ac:dyDescent="0.25">
      <c r="A13" s="28" t="s">
        <v>21</v>
      </c>
      <c r="B13" s="29">
        <f>COUNTIFS(Consultas!$D$2:$D$1000,$A13,Consultas!$G$2:$G$1000,"&lt;&gt;Sí",Consultas!$B$2:$B$1000,"&gt;="&amp;IF($B$4="",1,$B$4),Consultas!$B$2:$B$1000,"&lt;="&amp;IF($B$5="",2958465,$B$5))</f>
        <v>0</v>
      </c>
      <c r="C13" s="29">
        <f>COUNTIFS(Consultas!$D$2:$D$1000,$A13,Consultas!$G$2:$G$1000,"&lt;&gt;Sí",Consultas!$B$2:$B$1000,"&gt;="&amp;IF($B$4="",1,$B$4),Consultas!$B$2:$B$1000,"&lt;="&amp;IF($B$5="",2958465,$B$5),Consultas!$H$2:$H$1000,"Sí")</f>
        <v>0</v>
      </c>
      <c r="D13" s="29">
        <f>COUNTIFS(Consultas!$D$2:$D$1000,$A13,Consultas!$G$2:$G$1000,"&lt;&gt;Sí",Consultas!$B$2:$B$1000,"&gt;="&amp;IF($B$4="",1,$B$4),Consultas!$B$2:$B$1000,"&lt;="&amp;IF($B$5="",2958465,$B$5),Consultas!$I$2:$I$1000,"Sí")</f>
        <v>0</v>
      </c>
      <c r="E13" s="29">
        <f>COUNTIFS(Consultas!$D$2:$D$1000,$A13,Consultas!$G$2:$G$1000,"&lt;&gt;Sí",Consultas!$B$2:$B$1000,"&gt;="&amp;IF($B$4="",1,$B$4),Consultas!$B$2:$B$1000,"&lt;="&amp;IF($B$5="",2958465,$B$5),Consultas!$J$2:$J$1000,"Sí")</f>
        <v>0</v>
      </c>
      <c r="F13" s="29">
        <f>COUNTIFS(Consultas!$D$2:$D$1000,$A13,Consultas!$G$2:$G$1000,"&lt;&gt;Sí",Consultas!$B$2:$B$1000,"&gt;="&amp;IF($B$4="",1,$B$4),Consultas!$B$2:$B$1000,"&lt;="&amp;IF($B$5="",2958465,$B$5),Consultas!$K$2:$K$1000,"Sí")</f>
        <v>0</v>
      </c>
      <c r="G13" s="30">
        <f>SUMIFS(Consultas!$L$2:$L$1000,Consultas!$D$2:$D$1000,$A13,Consultas!$G$2:$G$1000,"&lt;&gt;Sí",Consultas!$B$2:$B$1000,"&gt;="&amp;IF($B$4="",1,$B$4),Consultas!$B$2:$B$1000,"&lt;="&amp;IF($B$5="",2958465,$B$5),Consultas!$K$2:$K$1000,"Sí")</f>
        <v>0</v>
      </c>
      <c r="H13" s="31"/>
      <c r="I13" s="32" t="str">
        <f t="shared" si="0"/>
        <v>NO CALCULABLE</v>
      </c>
      <c r="J13" s="32" t="str">
        <f t="shared" si="1"/>
        <v>NO CALCULABLE</v>
      </c>
      <c r="K13" s="33" t="str">
        <f t="shared" si="2"/>
        <v>NO CALCULABLE</v>
      </c>
      <c r="L13" s="34" t="str">
        <f>IF(N($E$29)=0,"NO CALCULABLE",C13/$E$29)</f>
        <v>NO CALCULABLE</v>
      </c>
    </row>
    <row r="14" spans="1:12" x14ac:dyDescent="0.25">
      <c r="A14" s="28" t="s">
        <v>25</v>
      </c>
      <c r="B14" s="29">
        <f>COUNTIFS(Consultas!$D$2:$D$1000,$A14,Consultas!$G$2:$G$1000,"&lt;&gt;Sí",Consultas!$B$2:$B$1000,"&gt;="&amp;IF($B$4="",1,$B$4),Consultas!$B$2:$B$1000,"&lt;="&amp;IF($B$5="",2958465,$B$5))</f>
        <v>0</v>
      </c>
      <c r="C14" s="29">
        <f>COUNTIFS(Consultas!$D$2:$D$1000,$A14,Consultas!$G$2:$G$1000,"&lt;&gt;Sí",Consultas!$B$2:$B$1000,"&gt;="&amp;IF($B$4="",1,$B$4),Consultas!$B$2:$B$1000,"&lt;="&amp;IF($B$5="",2958465,$B$5),Consultas!$H$2:$H$1000,"Sí")</f>
        <v>0</v>
      </c>
      <c r="D14" s="29">
        <f>COUNTIFS(Consultas!$D$2:$D$1000,$A14,Consultas!$G$2:$G$1000,"&lt;&gt;Sí",Consultas!$B$2:$B$1000,"&gt;="&amp;IF($B$4="",1,$B$4),Consultas!$B$2:$B$1000,"&lt;="&amp;IF($B$5="",2958465,$B$5),Consultas!$I$2:$I$1000,"Sí")</f>
        <v>0</v>
      </c>
      <c r="E14" s="29">
        <f>COUNTIFS(Consultas!$D$2:$D$1000,$A14,Consultas!$G$2:$G$1000,"&lt;&gt;Sí",Consultas!$B$2:$B$1000,"&gt;="&amp;IF($B$4="",1,$B$4),Consultas!$B$2:$B$1000,"&lt;="&amp;IF($B$5="",2958465,$B$5),Consultas!$J$2:$J$1000,"Sí")</f>
        <v>0</v>
      </c>
      <c r="F14" s="29">
        <f>COUNTIFS(Consultas!$D$2:$D$1000,$A14,Consultas!$G$2:$G$1000,"&lt;&gt;Sí",Consultas!$B$2:$B$1000,"&gt;="&amp;IF($B$4="",1,$B$4),Consultas!$B$2:$B$1000,"&lt;="&amp;IF($B$5="",2958465,$B$5),Consultas!$K$2:$K$1000,"Sí")</f>
        <v>0</v>
      </c>
      <c r="G14" s="30">
        <f>SUMIFS(Consultas!$L$2:$L$1000,Consultas!$D$2:$D$1000,$A14,Consultas!$G$2:$G$1000,"&lt;&gt;Sí",Consultas!$B$2:$B$1000,"&gt;="&amp;IF($B$4="",1,$B$4),Consultas!$B$2:$B$1000,"&lt;="&amp;IF($B$5="",2958465,$B$5),Consultas!$K$2:$K$1000,"Sí")</f>
        <v>0</v>
      </c>
      <c r="H14" s="35" t="s">
        <v>149</v>
      </c>
      <c r="I14" s="32" t="str">
        <f t="shared" si="0"/>
        <v>NO CALCULABLE</v>
      </c>
      <c r="J14" s="32" t="str">
        <f t="shared" si="1"/>
        <v>NO CALCULABLE</v>
      </c>
      <c r="K14" s="33" t="str">
        <f t="shared" si="2"/>
        <v>NO CALCULABLE</v>
      </c>
      <c r="L14" s="35" t="s">
        <v>149</v>
      </c>
    </row>
    <row r="15" spans="1:12" x14ac:dyDescent="0.25">
      <c r="A15" s="28" t="s">
        <v>27</v>
      </c>
      <c r="B15" s="29">
        <f>COUNTIFS(Consultas!$D$2:$D$1000,$A15,Consultas!$G$2:$G$1000,"&lt;&gt;Sí",Consultas!$B$2:$B$1000,"&gt;="&amp;IF($B$4="",1,$B$4),Consultas!$B$2:$B$1000,"&lt;="&amp;IF($B$5="",2958465,$B$5))</f>
        <v>0</v>
      </c>
      <c r="C15" s="29">
        <f>COUNTIFS(Consultas!$D$2:$D$1000,$A15,Consultas!$G$2:$G$1000,"&lt;&gt;Sí",Consultas!$B$2:$B$1000,"&gt;="&amp;IF($B$4="",1,$B$4),Consultas!$B$2:$B$1000,"&lt;="&amp;IF($B$5="",2958465,$B$5),Consultas!$H$2:$H$1000,"Sí")</f>
        <v>0</v>
      </c>
      <c r="D15" s="29">
        <f>COUNTIFS(Consultas!$D$2:$D$1000,$A15,Consultas!$G$2:$G$1000,"&lt;&gt;Sí",Consultas!$B$2:$B$1000,"&gt;="&amp;IF($B$4="",1,$B$4),Consultas!$B$2:$B$1000,"&lt;="&amp;IF($B$5="",2958465,$B$5),Consultas!$I$2:$I$1000,"Sí")</f>
        <v>0</v>
      </c>
      <c r="E15" s="29">
        <f>COUNTIFS(Consultas!$D$2:$D$1000,$A15,Consultas!$G$2:$G$1000,"&lt;&gt;Sí",Consultas!$B$2:$B$1000,"&gt;="&amp;IF($B$4="",1,$B$4),Consultas!$B$2:$B$1000,"&lt;="&amp;IF($B$5="",2958465,$B$5),Consultas!$J$2:$J$1000,"Sí")</f>
        <v>0</v>
      </c>
      <c r="F15" s="29">
        <f>COUNTIFS(Consultas!$D$2:$D$1000,$A15,Consultas!$G$2:$G$1000,"&lt;&gt;Sí",Consultas!$B$2:$B$1000,"&gt;="&amp;IF($B$4="",1,$B$4),Consultas!$B$2:$B$1000,"&lt;="&amp;IF($B$5="",2958465,$B$5),Consultas!$K$2:$K$1000,"Sí")</f>
        <v>0</v>
      </c>
      <c r="G15" s="30">
        <f>SUMIFS(Consultas!$L$2:$L$1000,Consultas!$D$2:$D$1000,$A15,Consultas!$G$2:$G$1000,"&lt;&gt;Sí",Consultas!$B$2:$B$1000,"&gt;="&amp;IF($B$4="",1,$B$4),Consultas!$B$2:$B$1000,"&lt;="&amp;IF($B$5="",2958465,$B$5),Consultas!$K$2:$K$1000,"Sí")</f>
        <v>0</v>
      </c>
      <c r="H15" s="35" t="s">
        <v>149</v>
      </c>
      <c r="I15" s="32" t="str">
        <f t="shared" si="0"/>
        <v>NO CALCULABLE</v>
      </c>
      <c r="J15" s="32" t="str">
        <f t="shared" si="1"/>
        <v>NO CALCULABLE</v>
      </c>
      <c r="K15" s="33" t="str">
        <f t="shared" si="2"/>
        <v>NO CALCULABLE</v>
      </c>
      <c r="L15" s="35" t="s">
        <v>149</v>
      </c>
    </row>
    <row r="16" spans="1:12" x14ac:dyDescent="0.25">
      <c r="A16" s="36" t="s">
        <v>150</v>
      </c>
      <c r="B16" s="37">
        <f t="shared" ref="B16:G16" si="3">SUM(B10:B15)</f>
        <v>0</v>
      </c>
      <c r="C16" s="37">
        <f t="shared" si="3"/>
        <v>0</v>
      </c>
      <c r="D16" s="37">
        <f t="shared" si="3"/>
        <v>0</v>
      </c>
      <c r="E16" s="37">
        <f t="shared" si="3"/>
        <v>0</v>
      </c>
      <c r="F16" s="37">
        <f t="shared" si="3"/>
        <v>0</v>
      </c>
      <c r="G16" s="38">
        <f t="shared" si="3"/>
        <v>0</v>
      </c>
      <c r="H16" s="39" t="str">
        <f>IF(SUMIF($H$10:$H$13,"&gt;0")=0,"SIN PAUTA",SUMIF($H$10:$H$13,"&gt;0"))</f>
        <v>SIN PAUTA</v>
      </c>
      <c r="I16" s="40" t="str">
        <f t="shared" si="0"/>
        <v>NO CALCULABLE</v>
      </c>
      <c r="J16" s="40" t="str">
        <f t="shared" si="1"/>
        <v>NO CALCULABLE</v>
      </c>
      <c r="K16" s="39" t="str">
        <f>IF(C16=0,"NO CALCULABLE",IF(SUMIF($H$10:$H$13,"&gt;0")=0,"SIN PAUTA",IF(SUMIF($H$10:$H$13,"&gt;0",$C$10:$C$13)=0,"NO CALCULABLE",SUMIF($H$10:$H$13,"&gt;0")/SUMIF($H$10:$H$13,"&gt;0",$C$10:$C$13))))</f>
        <v>NO CALCULABLE</v>
      </c>
      <c r="L16" s="41" t="str">
        <f>IF(SUMIF($E$26:$E$29,"&gt;0")=0,"NO CALCULABLE",SUMIF($E$26:$E$29,"&gt;0",$C$10:$C$13)/SUMIF($E$26:$E$29,"&gt;0"))</f>
        <v>NO CALCULABLE</v>
      </c>
    </row>
    <row r="17" spans="1:6" x14ac:dyDescent="0.25">
      <c r="A17" s="2" t="s">
        <v>151</v>
      </c>
    </row>
    <row r="18" spans="1:6" x14ac:dyDescent="0.25">
      <c r="A18" s="2" t="s">
        <v>152</v>
      </c>
    </row>
    <row r="19" spans="1:6" x14ac:dyDescent="0.25">
      <c r="A19" s="2" t="s">
        <v>153</v>
      </c>
    </row>
    <row r="20" spans="1:6" x14ac:dyDescent="0.25">
      <c r="A20" s="2" t="s">
        <v>154</v>
      </c>
    </row>
    <row r="22" spans="1:6" x14ac:dyDescent="0.25">
      <c r="A22" s="3" t="s">
        <v>155</v>
      </c>
    </row>
    <row r="23" spans="1:6" x14ac:dyDescent="0.25">
      <c r="A23" s="2" t="s">
        <v>156</v>
      </c>
    </row>
    <row r="24" spans="1:6" x14ac:dyDescent="0.25">
      <c r="A24" s="2" t="s">
        <v>157</v>
      </c>
    </row>
    <row r="25" spans="1:6" ht="30" customHeight="1" x14ac:dyDescent="0.25">
      <c r="A25" s="9" t="s">
        <v>158</v>
      </c>
      <c r="B25" s="27" t="s">
        <v>159</v>
      </c>
      <c r="C25" s="27" t="s">
        <v>160</v>
      </c>
      <c r="D25" s="27" t="s">
        <v>161</v>
      </c>
      <c r="E25" s="9" t="s">
        <v>150</v>
      </c>
      <c r="F25" s="27" t="s">
        <v>162</v>
      </c>
    </row>
    <row r="26" spans="1:6" x14ac:dyDescent="0.25">
      <c r="A26" s="28" t="s">
        <v>147</v>
      </c>
      <c r="B26" s="42"/>
      <c r="C26" s="42"/>
      <c r="D26" s="42"/>
      <c r="E26" s="43" t="str">
        <f>IF(COUNT(B26:D26)=0,"SIN DATO",SUM(B26:D26))</f>
        <v>SIN DATO</v>
      </c>
      <c r="F26" s="26"/>
    </row>
    <row r="27" spans="1:6" x14ac:dyDescent="0.25">
      <c r="A27" s="28" t="s">
        <v>148</v>
      </c>
      <c r="B27" s="42"/>
      <c r="C27" s="42"/>
      <c r="D27" s="42"/>
      <c r="E27" s="43" t="str">
        <f>IF(COUNT(B27:D27)=0,"SIN DATO",SUM(B27:D27))</f>
        <v>SIN DATO</v>
      </c>
      <c r="F27" s="26"/>
    </row>
    <row r="28" spans="1:6" x14ac:dyDescent="0.25">
      <c r="A28" s="28" t="s">
        <v>19</v>
      </c>
      <c r="B28" s="42"/>
      <c r="C28" s="42"/>
      <c r="D28" s="42"/>
      <c r="E28" s="43" t="str">
        <f>IF(COUNT(B28:D28)=0,"SIN DATO",SUM(B28:D28))</f>
        <v>SIN DATO</v>
      </c>
      <c r="F28" s="26"/>
    </row>
    <row r="29" spans="1:6" x14ac:dyDescent="0.25">
      <c r="A29" s="28" t="s">
        <v>21</v>
      </c>
      <c r="B29" s="42"/>
      <c r="C29" s="42"/>
      <c r="D29" s="42"/>
      <c r="E29" s="43" t="str">
        <f>IF(COUNT(B29:D29)=0,"SIN DATO",SUM(B29:D29))</f>
        <v>SIN DATO</v>
      </c>
      <c r="F29" s="26"/>
    </row>
    <row r="31" spans="1:6" x14ac:dyDescent="0.25">
      <c r="A31" s="3" t="s">
        <v>163</v>
      </c>
    </row>
    <row r="32" spans="1:6" x14ac:dyDescent="0.25">
      <c r="A32" s="2" t="s">
        <v>164</v>
      </c>
    </row>
    <row r="33" spans="1:11" x14ac:dyDescent="0.25">
      <c r="A33" s="2" t="s">
        <v>165</v>
      </c>
    </row>
    <row r="34" spans="1:11" x14ac:dyDescent="0.25">
      <c r="A34" s="2" t="s">
        <v>166</v>
      </c>
    </row>
    <row r="35" spans="1:11" ht="44.1" customHeight="1" x14ac:dyDescent="0.25">
      <c r="A35" s="9" t="s">
        <v>29</v>
      </c>
      <c r="B35" s="9" t="s">
        <v>137</v>
      </c>
      <c r="C35" s="9" t="s">
        <v>138</v>
      </c>
      <c r="D35" s="9" t="s">
        <v>139</v>
      </c>
      <c r="E35" s="9" t="s">
        <v>140</v>
      </c>
      <c r="F35" s="9" t="s">
        <v>141</v>
      </c>
      <c r="G35" s="9" t="s">
        <v>142</v>
      </c>
      <c r="H35" s="27" t="s">
        <v>143</v>
      </c>
      <c r="I35" s="9" t="s">
        <v>144</v>
      </c>
      <c r="J35" s="9" t="s">
        <v>145</v>
      </c>
      <c r="K35" s="9" t="s">
        <v>146</v>
      </c>
    </row>
    <row r="36" spans="1:11" x14ac:dyDescent="0.25">
      <c r="A36" s="28" t="s">
        <v>159</v>
      </c>
      <c r="B36" s="29">
        <f>COUNTIFS(Consultas!$C$2:$C$1000,$A36,Consultas!$D$2:$D$1000,"&lt;&gt;",Consultas!$G$2:$G$1000,"&lt;&gt;Sí",Consultas!$B$2:$B$1000,"&gt;="&amp;IF($B$4="",1,$B$4),Consultas!$B$2:$B$1000,"&lt;="&amp;IF($B$5="",2958465,$B$5))</f>
        <v>0</v>
      </c>
      <c r="C36" s="29">
        <f>COUNTIFS(Consultas!$C$2:$C$1000,$A36,Consultas!$D$2:$D$1000,"&lt;&gt;",Consultas!$G$2:$G$1000,"&lt;&gt;Sí",Consultas!$B$2:$B$1000,"&gt;="&amp;IF($B$4="",1,$B$4),Consultas!$B$2:$B$1000,"&lt;="&amp;IF($B$5="",2958465,$B$5),Consultas!$H$2:$H$1000,"Sí")</f>
        <v>0</v>
      </c>
      <c r="D36" s="29">
        <f>COUNTIFS(Consultas!$C$2:$C$1000,$A36,Consultas!$D$2:$D$1000,"&lt;&gt;",Consultas!$G$2:$G$1000,"&lt;&gt;Sí",Consultas!$B$2:$B$1000,"&gt;="&amp;IF($B$4="",1,$B$4),Consultas!$B$2:$B$1000,"&lt;="&amp;IF($B$5="",2958465,$B$5),Consultas!$I$2:$I$1000,"Sí")</f>
        <v>0</v>
      </c>
      <c r="E36" s="29">
        <f>COUNTIFS(Consultas!$C$2:$C$1000,$A36,Consultas!$D$2:$D$1000,"&lt;&gt;",Consultas!$G$2:$G$1000,"&lt;&gt;Sí",Consultas!$B$2:$B$1000,"&gt;="&amp;IF($B$4="",1,$B$4),Consultas!$B$2:$B$1000,"&lt;="&amp;IF($B$5="",2958465,$B$5),Consultas!$J$2:$J$1000,"Sí")</f>
        <v>0</v>
      </c>
      <c r="F36" s="29">
        <f>COUNTIFS(Consultas!$C$2:$C$1000,$A36,Consultas!$D$2:$D$1000,"&lt;&gt;",Consultas!$G$2:$G$1000,"&lt;&gt;Sí",Consultas!$B$2:$B$1000,"&gt;="&amp;IF($B$4="",1,$B$4),Consultas!$B$2:$B$1000,"&lt;="&amp;IF($B$5="",2958465,$B$5),Consultas!$K$2:$K$1000,"Sí")</f>
        <v>0</v>
      </c>
      <c r="G36" s="30">
        <f>SUMIFS(Consultas!$L$2:$L$1000,Consultas!$C$2:$C$1000,$A36,Consultas!$D$2:$D$1000,"&lt;&gt;",Consultas!$G$2:$G$1000,"&lt;&gt;Sí",Consultas!$B$2:$B$1000,"&gt;="&amp;IF($B$4="",1,$B$4),Consultas!$B$2:$B$1000,"&lt;="&amp;IF($B$5="",2958465,$B$5),Consultas!$K$2:$K$1000,"Sí")</f>
        <v>0</v>
      </c>
      <c r="H36" s="35" t="s">
        <v>149</v>
      </c>
      <c r="I36" s="32" t="str">
        <f t="shared" ref="I36:I46" si="4">IF(B36=0,"NO CALCULABLE",C36/B36)</f>
        <v>NO CALCULABLE</v>
      </c>
      <c r="J36" s="32" t="str">
        <f t="shared" ref="J36:J46" si="5">IF(C36=0,"NO CALCULABLE",E36/C36)</f>
        <v>NO CALCULABLE</v>
      </c>
      <c r="K36" s="35" t="s">
        <v>149</v>
      </c>
    </row>
    <row r="37" spans="1:11" x14ac:dyDescent="0.25">
      <c r="A37" s="28" t="s">
        <v>34</v>
      </c>
      <c r="B37" s="29">
        <f>COUNTIFS(Consultas!$C$2:$C$1000,$A37,Consultas!$D$2:$D$1000,"&lt;&gt;",Consultas!$G$2:$G$1000,"&lt;&gt;Sí",Consultas!$B$2:$B$1000,"&gt;="&amp;IF($B$4="",1,$B$4),Consultas!$B$2:$B$1000,"&lt;="&amp;IF($B$5="",2958465,$B$5))</f>
        <v>0</v>
      </c>
      <c r="C37" s="29">
        <f>COUNTIFS(Consultas!$C$2:$C$1000,$A37,Consultas!$D$2:$D$1000,"&lt;&gt;",Consultas!$G$2:$G$1000,"&lt;&gt;Sí",Consultas!$B$2:$B$1000,"&gt;="&amp;IF($B$4="",1,$B$4),Consultas!$B$2:$B$1000,"&lt;="&amp;IF($B$5="",2958465,$B$5),Consultas!$H$2:$H$1000,"Sí")</f>
        <v>0</v>
      </c>
      <c r="D37" s="29">
        <f>COUNTIFS(Consultas!$C$2:$C$1000,$A37,Consultas!$D$2:$D$1000,"&lt;&gt;",Consultas!$G$2:$G$1000,"&lt;&gt;Sí",Consultas!$B$2:$B$1000,"&gt;="&amp;IF($B$4="",1,$B$4),Consultas!$B$2:$B$1000,"&lt;="&amp;IF($B$5="",2958465,$B$5),Consultas!$I$2:$I$1000,"Sí")</f>
        <v>0</v>
      </c>
      <c r="E37" s="29">
        <f>COUNTIFS(Consultas!$C$2:$C$1000,$A37,Consultas!$D$2:$D$1000,"&lt;&gt;",Consultas!$G$2:$G$1000,"&lt;&gt;Sí",Consultas!$B$2:$B$1000,"&gt;="&amp;IF($B$4="",1,$B$4),Consultas!$B$2:$B$1000,"&lt;="&amp;IF($B$5="",2958465,$B$5),Consultas!$J$2:$J$1000,"Sí")</f>
        <v>0</v>
      </c>
      <c r="F37" s="29">
        <f>COUNTIFS(Consultas!$C$2:$C$1000,$A37,Consultas!$D$2:$D$1000,"&lt;&gt;",Consultas!$G$2:$G$1000,"&lt;&gt;Sí",Consultas!$B$2:$B$1000,"&gt;="&amp;IF($B$4="",1,$B$4),Consultas!$B$2:$B$1000,"&lt;="&amp;IF($B$5="",2958465,$B$5),Consultas!$K$2:$K$1000,"Sí")</f>
        <v>0</v>
      </c>
      <c r="G37" s="30">
        <f>SUMIFS(Consultas!$L$2:$L$1000,Consultas!$C$2:$C$1000,$A37,Consultas!$D$2:$D$1000,"&lt;&gt;",Consultas!$G$2:$G$1000,"&lt;&gt;Sí",Consultas!$B$2:$B$1000,"&gt;="&amp;IF($B$4="",1,$B$4),Consultas!$B$2:$B$1000,"&lt;="&amp;IF($B$5="",2958465,$B$5),Consultas!$K$2:$K$1000,"Sí")</f>
        <v>0</v>
      </c>
      <c r="H37" s="35" t="s">
        <v>149</v>
      </c>
      <c r="I37" s="32" t="str">
        <f t="shared" si="4"/>
        <v>NO CALCULABLE</v>
      </c>
      <c r="J37" s="32" t="str">
        <f t="shared" si="5"/>
        <v>NO CALCULABLE</v>
      </c>
      <c r="K37" s="35" t="s">
        <v>149</v>
      </c>
    </row>
    <row r="38" spans="1:11" x14ac:dyDescent="0.25">
      <c r="A38" s="28" t="s">
        <v>36</v>
      </c>
      <c r="B38" s="29">
        <f>COUNTIFS(Consultas!$C$2:$C$1000,$A38,Consultas!$D$2:$D$1000,"&lt;&gt;",Consultas!$G$2:$G$1000,"&lt;&gt;Sí",Consultas!$B$2:$B$1000,"&gt;="&amp;IF($B$4="",1,$B$4),Consultas!$B$2:$B$1000,"&lt;="&amp;IF($B$5="",2958465,$B$5))</f>
        <v>0</v>
      </c>
      <c r="C38" s="29">
        <f>COUNTIFS(Consultas!$C$2:$C$1000,$A38,Consultas!$D$2:$D$1000,"&lt;&gt;",Consultas!$G$2:$G$1000,"&lt;&gt;Sí",Consultas!$B$2:$B$1000,"&gt;="&amp;IF($B$4="",1,$B$4),Consultas!$B$2:$B$1000,"&lt;="&amp;IF($B$5="",2958465,$B$5),Consultas!$H$2:$H$1000,"Sí")</f>
        <v>0</v>
      </c>
      <c r="D38" s="29">
        <f>COUNTIFS(Consultas!$C$2:$C$1000,$A38,Consultas!$D$2:$D$1000,"&lt;&gt;",Consultas!$G$2:$G$1000,"&lt;&gt;Sí",Consultas!$B$2:$B$1000,"&gt;="&amp;IF($B$4="",1,$B$4),Consultas!$B$2:$B$1000,"&lt;="&amp;IF($B$5="",2958465,$B$5),Consultas!$I$2:$I$1000,"Sí")</f>
        <v>0</v>
      </c>
      <c r="E38" s="29">
        <f>COUNTIFS(Consultas!$C$2:$C$1000,$A38,Consultas!$D$2:$D$1000,"&lt;&gt;",Consultas!$G$2:$G$1000,"&lt;&gt;Sí",Consultas!$B$2:$B$1000,"&gt;="&amp;IF($B$4="",1,$B$4),Consultas!$B$2:$B$1000,"&lt;="&amp;IF($B$5="",2958465,$B$5),Consultas!$J$2:$J$1000,"Sí")</f>
        <v>0</v>
      </c>
      <c r="F38" s="29">
        <f>COUNTIFS(Consultas!$C$2:$C$1000,$A38,Consultas!$D$2:$D$1000,"&lt;&gt;",Consultas!$G$2:$G$1000,"&lt;&gt;Sí",Consultas!$B$2:$B$1000,"&gt;="&amp;IF($B$4="",1,$B$4),Consultas!$B$2:$B$1000,"&lt;="&amp;IF($B$5="",2958465,$B$5),Consultas!$K$2:$K$1000,"Sí")</f>
        <v>0</v>
      </c>
      <c r="G38" s="30">
        <f>SUMIFS(Consultas!$L$2:$L$1000,Consultas!$C$2:$C$1000,$A38,Consultas!$D$2:$D$1000,"&lt;&gt;",Consultas!$G$2:$G$1000,"&lt;&gt;Sí",Consultas!$B$2:$B$1000,"&gt;="&amp;IF($B$4="",1,$B$4),Consultas!$B$2:$B$1000,"&lt;="&amp;IF($B$5="",2958465,$B$5),Consultas!$K$2:$K$1000,"Sí")</f>
        <v>0</v>
      </c>
      <c r="H38" s="35" t="s">
        <v>149</v>
      </c>
      <c r="I38" s="32" t="str">
        <f t="shared" si="4"/>
        <v>NO CALCULABLE</v>
      </c>
      <c r="J38" s="32" t="str">
        <f t="shared" si="5"/>
        <v>NO CALCULABLE</v>
      </c>
      <c r="K38" s="35" t="s">
        <v>149</v>
      </c>
    </row>
    <row r="39" spans="1:11" x14ac:dyDescent="0.25">
      <c r="A39" s="28" t="s">
        <v>38</v>
      </c>
      <c r="B39" s="29">
        <f>COUNTIFS(Consultas!$C$2:$C$1000,$A39,Consultas!$D$2:$D$1000,"&lt;&gt;",Consultas!$G$2:$G$1000,"&lt;&gt;Sí",Consultas!$B$2:$B$1000,"&gt;="&amp;IF($B$4="",1,$B$4),Consultas!$B$2:$B$1000,"&lt;="&amp;IF($B$5="",2958465,$B$5))</f>
        <v>0</v>
      </c>
      <c r="C39" s="29">
        <f>COUNTIFS(Consultas!$C$2:$C$1000,$A39,Consultas!$D$2:$D$1000,"&lt;&gt;",Consultas!$G$2:$G$1000,"&lt;&gt;Sí",Consultas!$B$2:$B$1000,"&gt;="&amp;IF($B$4="",1,$B$4),Consultas!$B$2:$B$1000,"&lt;="&amp;IF($B$5="",2958465,$B$5),Consultas!$H$2:$H$1000,"Sí")</f>
        <v>0</v>
      </c>
      <c r="D39" s="29">
        <f>COUNTIFS(Consultas!$C$2:$C$1000,$A39,Consultas!$D$2:$D$1000,"&lt;&gt;",Consultas!$G$2:$G$1000,"&lt;&gt;Sí",Consultas!$B$2:$B$1000,"&gt;="&amp;IF($B$4="",1,$B$4),Consultas!$B$2:$B$1000,"&lt;="&amp;IF($B$5="",2958465,$B$5),Consultas!$I$2:$I$1000,"Sí")</f>
        <v>0</v>
      </c>
      <c r="E39" s="29">
        <f>COUNTIFS(Consultas!$C$2:$C$1000,$A39,Consultas!$D$2:$D$1000,"&lt;&gt;",Consultas!$G$2:$G$1000,"&lt;&gt;Sí",Consultas!$B$2:$B$1000,"&gt;="&amp;IF($B$4="",1,$B$4),Consultas!$B$2:$B$1000,"&lt;="&amp;IF($B$5="",2958465,$B$5),Consultas!$J$2:$J$1000,"Sí")</f>
        <v>0</v>
      </c>
      <c r="F39" s="29">
        <f>COUNTIFS(Consultas!$C$2:$C$1000,$A39,Consultas!$D$2:$D$1000,"&lt;&gt;",Consultas!$G$2:$G$1000,"&lt;&gt;Sí",Consultas!$B$2:$B$1000,"&gt;="&amp;IF($B$4="",1,$B$4),Consultas!$B$2:$B$1000,"&lt;="&amp;IF($B$5="",2958465,$B$5),Consultas!$K$2:$K$1000,"Sí")</f>
        <v>0</v>
      </c>
      <c r="G39" s="30">
        <f>SUMIFS(Consultas!$L$2:$L$1000,Consultas!$C$2:$C$1000,$A39,Consultas!$D$2:$D$1000,"&lt;&gt;",Consultas!$G$2:$G$1000,"&lt;&gt;Sí",Consultas!$B$2:$B$1000,"&gt;="&amp;IF($B$4="",1,$B$4),Consultas!$B$2:$B$1000,"&lt;="&amp;IF($B$5="",2958465,$B$5),Consultas!$K$2:$K$1000,"Sí")</f>
        <v>0</v>
      </c>
      <c r="H39" s="35" t="s">
        <v>149</v>
      </c>
      <c r="I39" s="32" t="str">
        <f t="shared" si="4"/>
        <v>NO CALCULABLE</v>
      </c>
      <c r="J39" s="32" t="str">
        <f t="shared" si="5"/>
        <v>NO CALCULABLE</v>
      </c>
      <c r="K39" s="35" t="s">
        <v>149</v>
      </c>
    </row>
    <row r="40" spans="1:11" x14ac:dyDescent="0.25">
      <c r="A40" s="28" t="s">
        <v>161</v>
      </c>
      <c r="B40" s="29">
        <f>COUNTIFS(Consultas!$C$2:$C$1000,$A40,Consultas!$D$2:$D$1000,"&lt;&gt;",Consultas!$G$2:$G$1000,"&lt;&gt;Sí",Consultas!$B$2:$B$1000,"&gt;="&amp;IF($B$4="",1,$B$4),Consultas!$B$2:$B$1000,"&lt;="&amp;IF($B$5="",2958465,$B$5))</f>
        <v>0</v>
      </c>
      <c r="C40" s="29">
        <f>COUNTIFS(Consultas!$C$2:$C$1000,$A40,Consultas!$D$2:$D$1000,"&lt;&gt;",Consultas!$G$2:$G$1000,"&lt;&gt;Sí",Consultas!$B$2:$B$1000,"&gt;="&amp;IF($B$4="",1,$B$4),Consultas!$B$2:$B$1000,"&lt;="&amp;IF($B$5="",2958465,$B$5),Consultas!$H$2:$H$1000,"Sí")</f>
        <v>0</v>
      </c>
      <c r="D40" s="29">
        <f>COUNTIFS(Consultas!$C$2:$C$1000,$A40,Consultas!$D$2:$D$1000,"&lt;&gt;",Consultas!$G$2:$G$1000,"&lt;&gt;Sí",Consultas!$B$2:$B$1000,"&gt;="&amp;IF($B$4="",1,$B$4),Consultas!$B$2:$B$1000,"&lt;="&amp;IF($B$5="",2958465,$B$5),Consultas!$I$2:$I$1000,"Sí")</f>
        <v>0</v>
      </c>
      <c r="E40" s="29">
        <f>COUNTIFS(Consultas!$C$2:$C$1000,$A40,Consultas!$D$2:$D$1000,"&lt;&gt;",Consultas!$G$2:$G$1000,"&lt;&gt;Sí",Consultas!$B$2:$B$1000,"&gt;="&amp;IF($B$4="",1,$B$4),Consultas!$B$2:$B$1000,"&lt;="&amp;IF($B$5="",2958465,$B$5),Consultas!$J$2:$J$1000,"Sí")</f>
        <v>0</v>
      </c>
      <c r="F40" s="29">
        <f>COUNTIFS(Consultas!$C$2:$C$1000,$A40,Consultas!$D$2:$D$1000,"&lt;&gt;",Consultas!$G$2:$G$1000,"&lt;&gt;Sí",Consultas!$B$2:$B$1000,"&gt;="&amp;IF($B$4="",1,$B$4),Consultas!$B$2:$B$1000,"&lt;="&amp;IF($B$5="",2958465,$B$5),Consultas!$K$2:$K$1000,"Sí")</f>
        <v>0</v>
      </c>
      <c r="G40" s="30">
        <f>SUMIFS(Consultas!$L$2:$L$1000,Consultas!$C$2:$C$1000,$A40,Consultas!$D$2:$D$1000,"&lt;&gt;",Consultas!$G$2:$G$1000,"&lt;&gt;Sí",Consultas!$B$2:$B$1000,"&gt;="&amp;IF($B$4="",1,$B$4),Consultas!$B$2:$B$1000,"&lt;="&amp;IF($B$5="",2958465,$B$5),Consultas!$K$2:$K$1000,"Sí")</f>
        <v>0</v>
      </c>
      <c r="H40" s="35" t="s">
        <v>149</v>
      </c>
      <c r="I40" s="32" t="str">
        <f t="shared" si="4"/>
        <v>NO CALCULABLE</v>
      </c>
      <c r="J40" s="32" t="str">
        <f t="shared" si="5"/>
        <v>NO CALCULABLE</v>
      </c>
      <c r="K40" s="35" t="s">
        <v>149</v>
      </c>
    </row>
    <row r="41" spans="1:11" x14ac:dyDescent="0.25">
      <c r="A41" s="28" t="s">
        <v>40</v>
      </c>
      <c r="B41" s="29">
        <f>COUNTIFS(Consultas!$C$2:$C$1000,$A41,Consultas!$D$2:$D$1000,"&lt;&gt;",Consultas!$G$2:$G$1000,"&lt;&gt;Sí",Consultas!$B$2:$B$1000,"&gt;="&amp;IF($B$4="",1,$B$4),Consultas!$B$2:$B$1000,"&lt;="&amp;IF($B$5="",2958465,$B$5))</f>
        <v>0</v>
      </c>
      <c r="C41" s="29">
        <f>COUNTIFS(Consultas!$C$2:$C$1000,$A41,Consultas!$D$2:$D$1000,"&lt;&gt;",Consultas!$G$2:$G$1000,"&lt;&gt;Sí",Consultas!$B$2:$B$1000,"&gt;="&amp;IF($B$4="",1,$B$4),Consultas!$B$2:$B$1000,"&lt;="&amp;IF($B$5="",2958465,$B$5),Consultas!$H$2:$H$1000,"Sí")</f>
        <v>0</v>
      </c>
      <c r="D41" s="29">
        <f>COUNTIFS(Consultas!$C$2:$C$1000,$A41,Consultas!$D$2:$D$1000,"&lt;&gt;",Consultas!$G$2:$G$1000,"&lt;&gt;Sí",Consultas!$B$2:$B$1000,"&gt;="&amp;IF($B$4="",1,$B$4),Consultas!$B$2:$B$1000,"&lt;="&amp;IF($B$5="",2958465,$B$5),Consultas!$I$2:$I$1000,"Sí")</f>
        <v>0</v>
      </c>
      <c r="E41" s="29">
        <f>COUNTIFS(Consultas!$C$2:$C$1000,$A41,Consultas!$D$2:$D$1000,"&lt;&gt;",Consultas!$G$2:$G$1000,"&lt;&gt;Sí",Consultas!$B$2:$B$1000,"&gt;="&amp;IF($B$4="",1,$B$4),Consultas!$B$2:$B$1000,"&lt;="&amp;IF($B$5="",2958465,$B$5),Consultas!$J$2:$J$1000,"Sí")</f>
        <v>0</v>
      </c>
      <c r="F41" s="29">
        <f>COUNTIFS(Consultas!$C$2:$C$1000,$A41,Consultas!$D$2:$D$1000,"&lt;&gt;",Consultas!$G$2:$G$1000,"&lt;&gt;Sí",Consultas!$B$2:$B$1000,"&gt;="&amp;IF($B$4="",1,$B$4),Consultas!$B$2:$B$1000,"&lt;="&amp;IF($B$5="",2958465,$B$5),Consultas!$K$2:$K$1000,"Sí")</f>
        <v>0</v>
      </c>
      <c r="G41" s="30">
        <f>SUMIFS(Consultas!$L$2:$L$1000,Consultas!$C$2:$C$1000,$A41,Consultas!$D$2:$D$1000,"&lt;&gt;",Consultas!$G$2:$G$1000,"&lt;&gt;Sí",Consultas!$B$2:$B$1000,"&gt;="&amp;IF($B$4="",1,$B$4),Consultas!$B$2:$B$1000,"&lt;="&amp;IF($B$5="",2958465,$B$5),Consultas!$K$2:$K$1000,"Sí")</f>
        <v>0</v>
      </c>
      <c r="H41" s="35" t="s">
        <v>149</v>
      </c>
      <c r="I41" s="32" t="str">
        <f t="shared" si="4"/>
        <v>NO CALCULABLE</v>
      </c>
      <c r="J41" s="32" t="str">
        <f t="shared" si="5"/>
        <v>NO CALCULABLE</v>
      </c>
      <c r="K41" s="35" t="s">
        <v>149</v>
      </c>
    </row>
    <row r="42" spans="1:11" x14ac:dyDescent="0.25">
      <c r="A42" s="28" t="s">
        <v>42</v>
      </c>
      <c r="B42" s="29">
        <f>COUNTIFS(Consultas!$C$2:$C$1000,$A42,Consultas!$D$2:$D$1000,"&lt;&gt;",Consultas!$G$2:$G$1000,"&lt;&gt;Sí",Consultas!$B$2:$B$1000,"&gt;="&amp;IF($B$4="",1,$B$4),Consultas!$B$2:$B$1000,"&lt;="&amp;IF($B$5="",2958465,$B$5))</f>
        <v>0</v>
      </c>
      <c r="C42" s="29">
        <f>COUNTIFS(Consultas!$C$2:$C$1000,$A42,Consultas!$D$2:$D$1000,"&lt;&gt;",Consultas!$G$2:$G$1000,"&lt;&gt;Sí",Consultas!$B$2:$B$1000,"&gt;="&amp;IF($B$4="",1,$B$4),Consultas!$B$2:$B$1000,"&lt;="&amp;IF($B$5="",2958465,$B$5),Consultas!$H$2:$H$1000,"Sí")</f>
        <v>0</v>
      </c>
      <c r="D42" s="29">
        <f>COUNTIFS(Consultas!$C$2:$C$1000,$A42,Consultas!$D$2:$D$1000,"&lt;&gt;",Consultas!$G$2:$G$1000,"&lt;&gt;Sí",Consultas!$B$2:$B$1000,"&gt;="&amp;IF($B$4="",1,$B$4),Consultas!$B$2:$B$1000,"&lt;="&amp;IF($B$5="",2958465,$B$5),Consultas!$I$2:$I$1000,"Sí")</f>
        <v>0</v>
      </c>
      <c r="E42" s="29">
        <f>COUNTIFS(Consultas!$C$2:$C$1000,$A42,Consultas!$D$2:$D$1000,"&lt;&gt;",Consultas!$G$2:$G$1000,"&lt;&gt;Sí",Consultas!$B$2:$B$1000,"&gt;="&amp;IF($B$4="",1,$B$4),Consultas!$B$2:$B$1000,"&lt;="&amp;IF($B$5="",2958465,$B$5),Consultas!$J$2:$J$1000,"Sí")</f>
        <v>0</v>
      </c>
      <c r="F42" s="29">
        <f>COUNTIFS(Consultas!$C$2:$C$1000,$A42,Consultas!$D$2:$D$1000,"&lt;&gt;",Consultas!$G$2:$G$1000,"&lt;&gt;Sí",Consultas!$B$2:$B$1000,"&gt;="&amp;IF($B$4="",1,$B$4),Consultas!$B$2:$B$1000,"&lt;="&amp;IF($B$5="",2958465,$B$5),Consultas!$K$2:$K$1000,"Sí")</f>
        <v>0</v>
      </c>
      <c r="G42" s="30">
        <f>SUMIFS(Consultas!$L$2:$L$1000,Consultas!$C$2:$C$1000,$A42,Consultas!$D$2:$D$1000,"&lt;&gt;",Consultas!$G$2:$G$1000,"&lt;&gt;Sí",Consultas!$B$2:$B$1000,"&gt;="&amp;IF($B$4="",1,$B$4),Consultas!$B$2:$B$1000,"&lt;="&amp;IF($B$5="",2958465,$B$5),Consultas!$K$2:$K$1000,"Sí")</f>
        <v>0</v>
      </c>
      <c r="H42" s="31"/>
      <c r="I42" s="32" t="str">
        <f t="shared" si="4"/>
        <v>NO CALCULABLE</v>
      </c>
      <c r="J42" s="32" t="str">
        <f t="shared" si="5"/>
        <v>NO CALCULABLE</v>
      </c>
      <c r="K42" s="33" t="str">
        <f>IF(C42=0,"NO CALCULABLE",IF(N(H42)&lt;=0,"SIN PAUTA",H42/C42))</f>
        <v>NO CALCULABLE</v>
      </c>
    </row>
    <row r="43" spans="1:11" x14ac:dyDescent="0.25">
      <c r="A43" s="28" t="s">
        <v>167</v>
      </c>
      <c r="B43" s="29">
        <f>COUNTIFS(Consultas!$C$2:$C$1000,$A43,Consultas!$D$2:$D$1000,"&lt;&gt;",Consultas!$G$2:$G$1000,"&lt;&gt;Sí",Consultas!$B$2:$B$1000,"&gt;="&amp;IF($B$4="",1,$B$4),Consultas!$B$2:$B$1000,"&lt;="&amp;IF($B$5="",2958465,$B$5))</f>
        <v>0</v>
      </c>
      <c r="C43" s="29">
        <f>COUNTIFS(Consultas!$C$2:$C$1000,$A43,Consultas!$D$2:$D$1000,"&lt;&gt;",Consultas!$G$2:$G$1000,"&lt;&gt;Sí",Consultas!$B$2:$B$1000,"&gt;="&amp;IF($B$4="",1,$B$4),Consultas!$B$2:$B$1000,"&lt;="&amp;IF($B$5="",2958465,$B$5),Consultas!$H$2:$H$1000,"Sí")</f>
        <v>0</v>
      </c>
      <c r="D43" s="29">
        <f>COUNTIFS(Consultas!$C$2:$C$1000,$A43,Consultas!$D$2:$D$1000,"&lt;&gt;",Consultas!$G$2:$G$1000,"&lt;&gt;Sí",Consultas!$B$2:$B$1000,"&gt;="&amp;IF($B$4="",1,$B$4),Consultas!$B$2:$B$1000,"&lt;="&amp;IF($B$5="",2958465,$B$5),Consultas!$I$2:$I$1000,"Sí")</f>
        <v>0</v>
      </c>
      <c r="E43" s="29">
        <f>COUNTIFS(Consultas!$C$2:$C$1000,$A43,Consultas!$D$2:$D$1000,"&lt;&gt;",Consultas!$G$2:$G$1000,"&lt;&gt;Sí",Consultas!$B$2:$B$1000,"&gt;="&amp;IF($B$4="",1,$B$4),Consultas!$B$2:$B$1000,"&lt;="&amp;IF($B$5="",2958465,$B$5),Consultas!$J$2:$J$1000,"Sí")</f>
        <v>0</v>
      </c>
      <c r="F43" s="29">
        <f>COUNTIFS(Consultas!$C$2:$C$1000,$A43,Consultas!$D$2:$D$1000,"&lt;&gt;",Consultas!$G$2:$G$1000,"&lt;&gt;Sí",Consultas!$B$2:$B$1000,"&gt;="&amp;IF($B$4="",1,$B$4),Consultas!$B$2:$B$1000,"&lt;="&amp;IF($B$5="",2958465,$B$5),Consultas!$K$2:$K$1000,"Sí")</f>
        <v>0</v>
      </c>
      <c r="G43" s="30">
        <f>SUMIFS(Consultas!$L$2:$L$1000,Consultas!$C$2:$C$1000,$A43,Consultas!$D$2:$D$1000,"&lt;&gt;",Consultas!$G$2:$G$1000,"&lt;&gt;Sí",Consultas!$B$2:$B$1000,"&gt;="&amp;IF($B$4="",1,$B$4),Consultas!$B$2:$B$1000,"&lt;="&amp;IF($B$5="",2958465,$B$5),Consultas!$K$2:$K$1000,"Sí")</f>
        <v>0</v>
      </c>
      <c r="H43" s="35" t="s">
        <v>149</v>
      </c>
      <c r="I43" s="32" t="str">
        <f t="shared" si="4"/>
        <v>NO CALCULABLE</v>
      </c>
      <c r="J43" s="32" t="str">
        <f t="shared" si="5"/>
        <v>NO CALCULABLE</v>
      </c>
      <c r="K43" s="35" t="s">
        <v>149</v>
      </c>
    </row>
    <row r="44" spans="1:11" x14ac:dyDescent="0.25">
      <c r="A44" s="28" t="s">
        <v>168</v>
      </c>
      <c r="B44" s="29">
        <f>COUNTIFS(Consultas!$C$2:$C$1000,$A44,Consultas!$D$2:$D$1000,"&lt;&gt;",Consultas!$G$2:$G$1000,"&lt;&gt;Sí",Consultas!$B$2:$B$1000,"&gt;="&amp;IF($B$4="",1,$B$4),Consultas!$B$2:$B$1000,"&lt;="&amp;IF($B$5="",2958465,$B$5))</f>
        <v>0</v>
      </c>
      <c r="C44" s="29">
        <f>COUNTIFS(Consultas!$C$2:$C$1000,$A44,Consultas!$D$2:$D$1000,"&lt;&gt;",Consultas!$G$2:$G$1000,"&lt;&gt;Sí",Consultas!$B$2:$B$1000,"&gt;="&amp;IF($B$4="",1,$B$4),Consultas!$B$2:$B$1000,"&lt;="&amp;IF($B$5="",2958465,$B$5),Consultas!$H$2:$H$1000,"Sí")</f>
        <v>0</v>
      </c>
      <c r="D44" s="29">
        <f>COUNTIFS(Consultas!$C$2:$C$1000,$A44,Consultas!$D$2:$D$1000,"&lt;&gt;",Consultas!$G$2:$G$1000,"&lt;&gt;Sí",Consultas!$B$2:$B$1000,"&gt;="&amp;IF($B$4="",1,$B$4),Consultas!$B$2:$B$1000,"&lt;="&amp;IF($B$5="",2958465,$B$5),Consultas!$I$2:$I$1000,"Sí")</f>
        <v>0</v>
      </c>
      <c r="E44" s="29">
        <f>COUNTIFS(Consultas!$C$2:$C$1000,$A44,Consultas!$D$2:$D$1000,"&lt;&gt;",Consultas!$G$2:$G$1000,"&lt;&gt;Sí",Consultas!$B$2:$B$1000,"&gt;="&amp;IF($B$4="",1,$B$4),Consultas!$B$2:$B$1000,"&lt;="&amp;IF($B$5="",2958465,$B$5),Consultas!$J$2:$J$1000,"Sí")</f>
        <v>0</v>
      </c>
      <c r="F44" s="29">
        <f>COUNTIFS(Consultas!$C$2:$C$1000,$A44,Consultas!$D$2:$D$1000,"&lt;&gt;",Consultas!$G$2:$G$1000,"&lt;&gt;Sí",Consultas!$B$2:$B$1000,"&gt;="&amp;IF($B$4="",1,$B$4),Consultas!$B$2:$B$1000,"&lt;="&amp;IF($B$5="",2958465,$B$5),Consultas!$K$2:$K$1000,"Sí")</f>
        <v>0</v>
      </c>
      <c r="G44" s="30">
        <f>SUMIFS(Consultas!$L$2:$L$1000,Consultas!$C$2:$C$1000,$A44,Consultas!$D$2:$D$1000,"&lt;&gt;",Consultas!$G$2:$G$1000,"&lt;&gt;Sí",Consultas!$B$2:$B$1000,"&gt;="&amp;IF($B$4="",1,$B$4),Consultas!$B$2:$B$1000,"&lt;="&amp;IF($B$5="",2958465,$B$5),Consultas!$K$2:$K$1000,"Sí")</f>
        <v>0</v>
      </c>
      <c r="H44" s="35" t="s">
        <v>149</v>
      </c>
      <c r="I44" s="32" t="str">
        <f t="shared" si="4"/>
        <v>NO CALCULABLE</v>
      </c>
      <c r="J44" s="32" t="str">
        <f t="shared" si="5"/>
        <v>NO CALCULABLE</v>
      </c>
      <c r="K44" s="35" t="s">
        <v>149</v>
      </c>
    </row>
    <row r="45" spans="1:11" x14ac:dyDescent="0.25">
      <c r="A45" s="28" t="s">
        <v>169</v>
      </c>
      <c r="B45" s="29">
        <f>COUNTIFS(Consultas!$C$2:$C$1000,$A45,Consultas!$D$2:$D$1000,"&lt;&gt;",Consultas!$G$2:$G$1000,"&lt;&gt;Sí",Consultas!$B$2:$B$1000,"&gt;="&amp;IF($B$4="",1,$B$4),Consultas!$B$2:$B$1000,"&lt;="&amp;IF($B$5="",2958465,$B$5))</f>
        <v>0</v>
      </c>
      <c r="C45" s="29">
        <f>COUNTIFS(Consultas!$C$2:$C$1000,$A45,Consultas!$D$2:$D$1000,"&lt;&gt;",Consultas!$G$2:$G$1000,"&lt;&gt;Sí",Consultas!$B$2:$B$1000,"&gt;="&amp;IF($B$4="",1,$B$4),Consultas!$B$2:$B$1000,"&lt;="&amp;IF($B$5="",2958465,$B$5),Consultas!$H$2:$H$1000,"Sí")</f>
        <v>0</v>
      </c>
      <c r="D45" s="29">
        <f>COUNTIFS(Consultas!$C$2:$C$1000,$A45,Consultas!$D$2:$D$1000,"&lt;&gt;",Consultas!$G$2:$G$1000,"&lt;&gt;Sí",Consultas!$B$2:$B$1000,"&gt;="&amp;IF($B$4="",1,$B$4),Consultas!$B$2:$B$1000,"&lt;="&amp;IF($B$5="",2958465,$B$5),Consultas!$I$2:$I$1000,"Sí")</f>
        <v>0</v>
      </c>
      <c r="E45" s="29">
        <f>COUNTIFS(Consultas!$C$2:$C$1000,$A45,Consultas!$D$2:$D$1000,"&lt;&gt;",Consultas!$G$2:$G$1000,"&lt;&gt;Sí",Consultas!$B$2:$B$1000,"&gt;="&amp;IF($B$4="",1,$B$4),Consultas!$B$2:$B$1000,"&lt;="&amp;IF($B$5="",2958465,$B$5),Consultas!$J$2:$J$1000,"Sí")</f>
        <v>0</v>
      </c>
      <c r="F45" s="29">
        <f>COUNTIFS(Consultas!$C$2:$C$1000,$A45,Consultas!$D$2:$D$1000,"&lt;&gt;",Consultas!$G$2:$G$1000,"&lt;&gt;Sí",Consultas!$B$2:$B$1000,"&gt;="&amp;IF($B$4="",1,$B$4),Consultas!$B$2:$B$1000,"&lt;="&amp;IF($B$5="",2958465,$B$5),Consultas!$K$2:$K$1000,"Sí")</f>
        <v>0</v>
      </c>
      <c r="G45" s="30">
        <f>SUMIFS(Consultas!$L$2:$L$1000,Consultas!$C$2:$C$1000,$A45,Consultas!$D$2:$D$1000,"&lt;&gt;",Consultas!$G$2:$G$1000,"&lt;&gt;Sí",Consultas!$B$2:$B$1000,"&gt;="&amp;IF($B$4="",1,$B$4),Consultas!$B$2:$B$1000,"&lt;="&amp;IF($B$5="",2958465,$B$5),Consultas!$K$2:$K$1000,"Sí")</f>
        <v>0</v>
      </c>
      <c r="H45" s="35" t="s">
        <v>149</v>
      </c>
      <c r="I45" s="32" t="str">
        <f t="shared" si="4"/>
        <v>NO CALCULABLE</v>
      </c>
      <c r="J45" s="32" t="str">
        <f t="shared" si="5"/>
        <v>NO CALCULABLE</v>
      </c>
      <c r="K45" s="35" t="s">
        <v>149</v>
      </c>
    </row>
    <row r="46" spans="1:11" x14ac:dyDescent="0.25">
      <c r="A46" s="36" t="s">
        <v>150</v>
      </c>
      <c r="B46" s="37">
        <f t="shared" ref="B46:G46" si="6">SUM(B36:B45)</f>
        <v>0</v>
      </c>
      <c r="C46" s="37">
        <f t="shared" si="6"/>
        <v>0</v>
      </c>
      <c r="D46" s="37">
        <f t="shared" si="6"/>
        <v>0</v>
      </c>
      <c r="E46" s="37">
        <f t="shared" si="6"/>
        <v>0</v>
      </c>
      <c r="F46" s="37">
        <f t="shared" si="6"/>
        <v>0</v>
      </c>
      <c r="G46" s="38">
        <f t="shared" si="6"/>
        <v>0</v>
      </c>
      <c r="H46" s="44" t="s">
        <v>149</v>
      </c>
      <c r="I46" s="40" t="str">
        <f t="shared" si="4"/>
        <v>NO CALCULABLE</v>
      </c>
      <c r="J46" s="40" t="str">
        <f t="shared" si="5"/>
        <v>NO CALCULABLE</v>
      </c>
      <c r="K46" s="44" t="s">
        <v>149</v>
      </c>
    </row>
    <row r="47" spans="1:11" x14ac:dyDescent="0.25">
      <c r="A47" s="56" t="s">
        <v>170</v>
      </c>
      <c r="B47" s="53"/>
      <c r="C47" s="53"/>
      <c r="D47" s="53"/>
      <c r="E47" s="53"/>
      <c r="F47" s="53"/>
      <c r="G47" s="53"/>
      <c r="H47" s="53"/>
      <c r="I47" s="45">
        <f>$B$16-B46</f>
        <v>0</v>
      </c>
    </row>
    <row r="48" spans="1:11" x14ac:dyDescent="0.25">
      <c r="A48" s="57" t="str">
        <f>IF(AND(SUMIF($H$10:$H$13,"&gt;0")&gt;0,N($H$42)&gt;0),"Hay pauta escrita en los dos cuadros: confirmá que son anuncios distintos y que ningún gasto está anotado dos veces.","")</f>
        <v/>
      </c>
      <c r="B48" s="58"/>
      <c r="C48" s="58"/>
      <c r="D48" s="58"/>
      <c r="E48" s="58"/>
      <c r="F48" s="58"/>
      <c r="G48" s="58"/>
      <c r="H48" s="58"/>
      <c r="I48" s="58"/>
      <c r="J48" s="58"/>
      <c r="K48" s="58"/>
    </row>
    <row r="50" spans="1:11" x14ac:dyDescent="0.25">
      <c r="A50" s="3" t="s">
        <v>171</v>
      </c>
    </row>
    <row r="51" spans="1:11" x14ac:dyDescent="0.25">
      <c r="A51" s="56" t="s">
        <v>172</v>
      </c>
      <c r="B51" s="53"/>
      <c r="C51" s="53"/>
      <c r="D51" s="53"/>
      <c r="E51" s="53"/>
      <c r="F51" s="53"/>
      <c r="G51" s="53"/>
      <c r="H51" s="53"/>
      <c r="I51" s="46"/>
    </row>
    <row r="52" spans="1:11" x14ac:dyDescent="0.25">
      <c r="A52" s="56" t="s">
        <v>173</v>
      </c>
      <c r="B52" s="53"/>
      <c r="C52" s="53"/>
      <c r="D52" s="53"/>
      <c r="E52" s="53"/>
      <c r="F52" s="53"/>
      <c r="G52" s="53"/>
      <c r="H52" s="53"/>
      <c r="I52" s="46"/>
    </row>
    <row r="53" spans="1:11" x14ac:dyDescent="0.25">
      <c r="A53" s="56" t="s">
        <v>174</v>
      </c>
      <c r="B53" s="53"/>
      <c r="C53" s="53"/>
      <c r="D53" s="53"/>
      <c r="E53" s="53"/>
      <c r="F53" s="53"/>
      <c r="G53" s="53"/>
      <c r="H53" s="53"/>
      <c r="I53" s="46"/>
    </row>
    <row r="54" spans="1:11" x14ac:dyDescent="0.25">
      <c r="A54" s="56" t="s">
        <v>175</v>
      </c>
      <c r="B54" s="53"/>
      <c r="C54" s="53"/>
      <c r="D54" s="53"/>
      <c r="E54" s="53"/>
      <c r="F54" s="53"/>
      <c r="G54" s="53"/>
      <c r="H54" s="53"/>
      <c r="I54" s="46"/>
    </row>
    <row r="55" spans="1:11" ht="27.95" customHeight="1" x14ac:dyDescent="0.25">
      <c r="A55" s="25" t="s">
        <v>176</v>
      </c>
      <c r="B55" s="59" t="str">
        <f>IF(COUNTA($I$51,$I$52,$I$53,$I$54)&lt;4,"Contestá las cuatro preguntas antes de comparar piezas.",IF(OR($I$51="Sí",$I$52="Sí",$I$53="No",$I$54="No"),"Comparación entre piezas NO VÁLIDA en este periodo: extendé o repetí la prueba con condiciones parejas.","Condiciones parejas declaradas. Con pocas consultas igual no se declara ganador: seguí observando."))</f>
        <v>Contestá las cuatro preguntas antes de comparar piezas.</v>
      </c>
      <c r="C55" s="58"/>
      <c r="D55" s="58"/>
      <c r="E55" s="58"/>
      <c r="F55" s="58"/>
      <c r="G55" s="58"/>
      <c r="H55" s="58"/>
      <c r="I55" s="58"/>
      <c r="J55" s="58"/>
      <c r="K55" s="58"/>
    </row>
    <row r="57" spans="1:11" x14ac:dyDescent="0.25">
      <c r="A57" s="3" t="s">
        <v>177</v>
      </c>
    </row>
    <row r="58" spans="1:11" x14ac:dyDescent="0.25">
      <c r="A58" s="2" t="s">
        <v>178</v>
      </c>
    </row>
    <row r="59" spans="1:11" x14ac:dyDescent="0.25">
      <c r="A59" s="2" t="s">
        <v>179</v>
      </c>
    </row>
    <row r="60" spans="1:11" ht="44.1" customHeight="1" x14ac:dyDescent="0.25">
      <c r="A60" s="9" t="s">
        <v>158</v>
      </c>
      <c r="B60" s="27" t="s">
        <v>180</v>
      </c>
      <c r="C60" s="9" t="s">
        <v>181</v>
      </c>
      <c r="D60" s="9" t="s">
        <v>137</v>
      </c>
      <c r="E60" s="9" t="s">
        <v>138</v>
      </c>
      <c r="F60" s="9" t="s">
        <v>139</v>
      </c>
      <c r="G60" s="9" t="s">
        <v>140</v>
      </c>
      <c r="H60" s="9" t="s">
        <v>144</v>
      </c>
      <c r="I60" s="9" t="s">
        <v>145</v>
      </c>
      <c r="J60" s="27" t="s">
        <v>182</v>
      </c>
      <c r="K60" s="9" t="s">
        <v>74</v>
      </c>
    </row>
    <row r="61" spans="1:11" x14ac:dyDescent="0.25">
      <c r="A61" s="28" t="s">
        <v>147</v>
      </c>
      <c r="B61" s="26"/>
      <c r="C61" s="47" t="str">
        <f>IF($B61="","Falta fecha",$B61+3)</f>
        <v>Falta fecha</v>
      </c>
      <c r="D61" s="29" t="str">
        <f>IF($B61="","",COUNTIFS(Consultas!$D$2:$D$1000,$A61,Consultas!$G$2:$G$1000,"&lt;&gt;Sí",Consultas!$B$2:$B$1000,"&gt;="&amp;$B61,Consultas!$B$2:$B$1000,"&lt;="&amp;($B61+3)))</f>
        <v/>
      </c>
      <c r="E61" s="29" t="str">
        <f>IF($B61="","",COUNTIFS(Consultas!$D$2:$D$1000,$A61,Consultas!$G$2:$G$1000,"&lt;&gt;Sí",Consultas!$B$2:$B$1000,"&gt;="&amp;$B61,Consultas!$B$2:$B$1000,"&lt;="&amp;($B61+3),Consultas!$H$2:$H$1000,"Sí"))</f>
        <v/>
      </c>
      <c r="F61" s="29" t="str">
        <f>IF($B61="","",COUNTIFS(Consultas!$D$2:$D$1000,$A61,Consultas!$G$2:$G$1000,"&lt;&gt;Sí",Consultas!$B$2:$B$1000,"&gt;="&amp;$B61,Consultas!$B$2:$B$1000,"&lt;="&amp;($B61+3),Consultas!$I$2:$I$1000,"Sí"))</f>
        <v/>
      </c>
      <c r="G61" s="29" t="str">
        <f>IF($B61="","",COUNTIFS(Consultas!$D$2:$D$1000,$A61,Consultas!$G$2:$G$1000,"&lt;&gt;Sí",Consultas!$B$2:$B$1000,"&gt;="&amp;$B61,Consultas!$B$2:$B$1000,"&lt;="&amp;($B61+3),Consultas!$J$2:$J$1000,"Sí"))</f>
        <v/>
      </c>
      <c r="H61" s="32" t="str">
        <f>IF(N(D61)=0,"NO CALCULABLE",E61/D61)</f>
        <v>NO CALCULABLE</v>
      </c>
      <c r="I61" s="32" t="str">
        <f>IF(N(E61)=0,"NO CALCULABLE",G61/E61)</f>
        <v>NO CALCULABLE</v>
      </c>
      <c r="J61" s="42"/>
      <c r="K61" s="34" t="str">
        <f>IF(OR($B61="",N(J61)=0),"NO CALCULABLE",E61/J61)</f>
        <v>NO CALCULABLE</v>
      </c>
    </row>
    <row r="62" spans="1:11" x14ac:dyDescent="0.25">
      <c r="A62" s="28" t="s">
        <v>148</v>
      </c>
      <c r="B62" s="26"/>
      <c r="C62" s="47" t="str">
        <f>IF($B62="","Falta fecha",$B62+3)</f>
        <v>Falta fecha</v>
      </c>
      <c r="D62" s="29" t="str">
        <f>IF($B62="","",COUNTIFS(Consultas!$D$2:$D$1000,$A62,Consultas!$G$2:$G$1000,"&lt;&gt;Sí",Consultas!$B$2:$B$1000,"&gt;="&amp;$B62,Consultas!$B$2:$B$1000,"&lt;="&amp;($B62+3)))</f>
        <v/>
      </c>
      <c r="E62" s="29" t="str">
        <f>IF($B62="","",COUNTIFS(Consultas!$D$2:$D$1000,$A62,Consultas!$G$2:$G$1000,"&lt;&gt;Sí",Consultas!$B$2:$B$1000,"&gt;="&amp;$B62,Consultas!$B$2:$B$1000,"&lt;="&amp;($B62+3),Consultas!$H$2:$H$1000,"Sí"))</f>
        <v/>
      </c>
      <c r="F62" s="29" t="str">
        <f>IF($B62="","",COUNTIFS(Consultas!$D$2:$D$1000,$A62,Consultas!$G$2:$G$1000,"&lt;&gt;Sí",Consultas!$B$2:$B$1000,"&gt;="&amp;$B62,Consultas!$B$2:$B$1000,"&lt;="&amp;($B62+3),Consultas!$I$2:$I$1000,"Sí"))</f>
        <v/>
      </c>
      <c r="G62" s="29" t="str">
        <f>IF($B62="","",COUNTIFS(Consultas!$D$2:$D$1000,$A62,Consultas!$G$2:$G$1000,"&lt;&gt;Sí",Consultas!$B$2:$B$1000,"&gt;="&amp;$B62,Consultas!$B$2:$B$1000,"&lt;="&amp;($B62+3),Consultas!$J$2:$J$1000,"Sí"))</f>
        <v/>
      </c>
      <c r="H62" s="32" t="str">
        <f>IF(N(D62)=0,"NO CALCULABLE",E62/D62)</f>
        <v>NO CALCULABLE</v>
      </c>
      <c r="I62" s="32" t="str">
        <f>IF(N(E62)=0,"NO CALCULABLE",G62/E62)</f>
        <v>NO CALCULABLE</v>
      </c>
      <c r="J62" s="42"/>
      <c r="K62" s="34" t="str">
        <f>IF(OR($B62="",N(J62)=0),"NO CALCULABLE",E62/J62)</f>
        <v>NO CALCULABLE</v>
      </c>
    </row>
    <row r="63" spans="1:11" x14ac:dyDescent="0.25">
      <c r="A63" s="36" t="s">
        <v>183</v>
      </c>
      <c r="B63" s="48"/>
      <c r="C63" s="48"/>
      <c r="D63" s="49" t="str">
        <f>IF(OR($B$61="",$B$62=""),"",D62-D61)</f>
        <v/>
      </c>
      <c r="E63" s="49" t="str">
        <f>IF(OR($B$61="",$B$62=""),"",E62-E61)</f>
        <v/>
      </c>
      <c r="F63" s="49" t="str">
        <f>IF(OR($B$61="",$B$62=""),"",F62-F61)</f>
        <v/>
      </c>
      <c r="G63" s="49" t="str">
        <f>IF(OR($B$61="",$B$62=""),"",G62-G61)</f>
        <v/>
      </c>
      <c r="H63" s="48"/>
      <c r="I63" s="48"/>
      <c r="J63" s="48"/>
      <c r="K63" s="48"/>
    </row>
    <row r="64" spans="1:11" ht="48" customHeight="1" x14ac:dyDescent="0.25">
      <c r="A64" s="25" t="s">
        <v>176</v>
      </c>
      <c r="B64" s="59" t="str">
        <f>IF(OR($B$61="",$B$62=""),"Escribí las dos fechas de publicación para comparar.",IF(COUNTA($I$51,$I$52,$I$53,$I$54)&lt;4,"Contestá las cuatro preguntas de condiciones antes de comparar.",IF(OR($I$51="Sí",$I$52="Sí",$I$53="No",$I$54="No"),"Comparación NO VÁLIDA: las condiciones no fueron parejas. Repetí la prueba.",IF($E$63=0,"GAME1 y GAME2 tuvieron las mismas consultas cualificadas.","GAME2 tuvo "&amp;ABS($E$63)&amp;" consulta(s) cualificada(s) "&amp;IF($E$63&gt;0,"más","menos")&amp;" que GAME1.")&amp;IF(OR(N($J$61)=0,N($J$62)=0)," Falta el alcance de al menos una pieza: la lectura es solo descriptiva y se comparan volúmenes absolutos junto al alcance conocido."," Las dos piezas tienen alcance: mirá también Cualificadas / alcance.")&amp;" Es una señal exploratoria, no un ganador: no se sabe en qué dirección influyen el día, el orden ni el alcance.")))</f>
        <v>Escribí las dos fechas de publicación para comparar.</v>
      </c>
      <c r="C64" s="58"/>
      <c r="D64" s="58"/>
      <c r="E64" s="58"/>
      <c r="F64" s="58"/>
      <c r="G64" s="58"/>
      <c r="H64" s="58"/>
      <c r="I64" s="58"/>
      <c r="J64" s="58"/>
      <c r="K64" s="58"/>
    </row>
    <row r="66" spans="1:9" x14ac:dyDescent="0.25">
      <c r="A66" s="3" t="s">
        <v>184</v>
      </c>
    </row>
    <row r="67" spans="1:9" ht="25.5" x14ac:dyDescent="0.25">
      <c r="A67" s="9" t="s">
        <v>87</v>
      </c>
      <c r="B67" s="9" t="s">
        <v>185</v>
      </c>
      <c r="C67" s="9" t="s">
        <v>186</v>
      </c>
      <c r="D67" s="9" t="s">
        <v>169</v>
      </c>
      <c r="E67" s="9" t="s">
        <v>187</v>
      </c>
    </row>
    <row r="68" spans="1:9" x14ac:dyDescent="0.25">
      <c r="A68" s="28" t="s">
        <v>147</v>
      </c>
      <c r="B68" s="29">
        <f>COUNTIFS(Consultas!$D$2:$D$1000,$A68,Consultas!$G$2:$G$1000,"&lt;&gt;Sí",Consultas!$B$2:$B$1000,"&gt;="&amp;IF($B$4="",1,$B$4),Consultas!$B$2:$B$1000,"&lt;="&amp;IF($B$5="",2958465,$B$5),Consultas!$F$2:$F$1000,"GAM")</f>
        <v>0</v>
      </c>
      <c r="C68" s="29">
        <f>COUNTIFS(Consultas!$D$2:$D$1000,$A68,Consultas!$G$2:$G$1000,"&lt;&gt;Sí",Consultas!$B$2:$B$1000,"&gt;="&amp;IF($B$4="",1,$B$4),Consultas!$B$2:$B$1000,"&lt;="&amp;IF($B$5="",2958465,$B$5),Consultas!$F$2:$F$1000,"Fuera de GAM")</f>
        <v>0</v>
      </c>
      <c r="D68" s="29">
        <f>COUNTIFS(Consultas!$D$2:$D$1000,$A68,Consultas!$G$2:$G$1000,"&lt;&gt;Sí",Consultas!$B$2:$B$1000,"&gt;="&amp;IF($B$4="",1,$B$4),Consultas!$B$2:$B$1000,"&lt;="&amp;IF($B$5="",2958465,$B$5),Consultas!$F$2:$F$1000,"No dijo")</f>
        <v>0</v>
      </c>
      <c r="E68" s="29">
        <f>$B$10-SUM(B68:D68)</f>
        <v>0</v>
      </c>
    </row>
    <row r="69" spans="1:9" x14ac:dyDescent="0.25">
      <c r="A69" s="28" t="s">
        <v>148</v>
      </c>
      <c r="B69" s="29">
        <f>COUNTIFS(Consultas!$D$2:$D$1000,$A69,Consultas!$G$2:$G$1000,"&lt;&gt;Sí",Consultas!$B$2:$B$1000,"&gt;="&amp;IF($B$4="",1,$B$4),Consultas!$B$2:$B$1000,"&lt;="&amp;IF($B$5="",2958465,$B$5),Consultas!$F$2:$F$1000,"GAM")</f>
        <v>0</v>
      </c>
      <c r="C69" s="29">
        <f>COUNTIFS(Consultas!$D$2:$D$1000,$A69,Consultas!$G$2:$G$1000,"&lt;&gt;Sí",Consultas!$B$2:$B$1000,"&gt;="&amp;IF($B$4="",1,$B$4),Consultas!$B$2:$B$1000,"&lt;="&amp;IF($B$5="",2958465,$B$5),Consultas!$F$2:$F$1000,"Fuera de GAM")</f>
        <v>0</v>
      </c>
      <c r="D69" s="29">
        <f>COUNTIFS(Consultas!$D$2:$D$1000,$A69,Consultas!$G$2:$G$1000,"&lt;&gt;Sí",Consultas!$B$2:$B$1000,"&gt;="&amp;IF($B$4="",1,$B$4),Consultas!$B$2:$B$1000,"&lt;="&amp;IF($B$5="",2958465,$B$5),Consultas!$F$2:$F$1000,"No dijo")</f>
        <v>0</v>
      </c>
      <c r="E69" s="29">
        <f>$B$11-SUM(B69:D69)</f>
        <v>0</v>
      </c>
    </row>
    <row r="70" spans="1:9" x14ac:dyDescent="0.25">
      <c r="A70" s="28" t="s">
        <v>19</v>
      </c>
      <c r="B70" s="29">
        <f>COUNTIFS(Consultas!$D$2:$D$1000,$A70,Consultas!$G$2:$G$1000,"&lt;&gt;Sí",Consultas!$B$2:$B$1000,"&gt;="&amp;IF($B$4="",1,$B$4),Consultas!$B$2:$B$1000,"&lt;="&amp;IF($B$5="",2958465,$B$5),Consultas!$F$2:$F$1000,"GAM")</f>
        <v>0</v>
      </c>
      <c r="C70" s="29">
        <f>COUNTIFS(Consultas!$D$2:$D$1000,$A70,Consultas!$G$2:$G$1000,"&lt;&gt;Sí",Consultas!$B$2:$B$1000,"&gt;="&amp;IF($B$4="",1,$B$4),Consultas!$B$2:$B$1000,"&lt;="&amp;IF($B$5="",2958465,$B$5),Consultas!$F$2:$F$1000,"Fuera de GAM")</f>
        <v>0</v>
      </c>
      <c r="D70" s="29">
        <f>COUNTIFS(Consultas!$D$2:$D$1000,$A70,Consultas!$G$2:$G$1000,"&lt;&gt;Sí",Consultas!$B$2:$B$1000,"&gt;="&amp;IF($B$4="",1,$B$4),Consultas!$B$2:$B$1000,"&lt;="&amp;IF($B$5="",2958465,$B$5),Consultas!$F$2:$F$1000,"No dijo")</f>
        <v>0</v>
      </c>
      <c r="E70" s="29">
        <f>$B$12-SUM(B70:D70)</f>
        <v>0</v>
      </c>
    </row>
    <row r="71" spans="1:9" x14ac:dyDescent="0.25">
      <c r="A71" s="28" t="s">
        <v>21</v>
      </c>
      <c r="B71" s="29">
        <f>COUNTIFS(Consultas!$D$2:$D$1000,$A71,Consultas!$G$2:$G$1000,"&lt;&gt;Sí",Consultas!$B$2:$B$1000,"&gt;="&amp;IF($B$4="",1,$B$4),Consultas!$B$2:$B$1000,"&lt;="&amp;IF($B$5="",2958465,$B$5),Consultas!$F$2:$F$1000,"GAM")</f>
        <v>0</v>
      </c>
      <c r="C71" s="29">
        <f>COUNTIFS(Consultas!$D$2:$D$1000,$A71,Consultas!$G$2:$G$1000,"&lt;&gt;Sí",Consultas!$B$2:$B$1000,"&gt;="&amp;IF($B$4="",1,$B$4),Consultas!$B$2:$B$1000,"&lt;="&amp;IF($B$5="",2958465,$B$5),Consultas!$F$2:$F$1000,"Fuera de GAM")</f>
        <v>0</v>
      </c>
      <c r="D71" s="29">
        <f>COUNTIFS(Consultas!$D$2:$D$1000,$A71,Consultas!$G$2:$G$1000,"&lt;&gt;Sí",Consultas!$B$2:$B$1000,"&gt;="&amp;IF($B$4="",1,$B$4),Consultas!$B$2:$B$1000,"&lt;="&amp;IF($B$5="",2958465,$B$5),Consultas!$F$2:$F$1000,"No dijo")</f>
        <v>0</v>
      </c>
      <c r="E71" s="29">
        <f>$B$13-SUM(B71:D71)</f>
        <v>0</v>
      </c>
    </row>
    <row r="72" spans="1:9" x14ac:dyDescent="0.25">
      <c r="A72" s="28" t="s">
        <v>25</v>
      </c>
      <c r="B72" s="29">
        <f>COUNTIFS(Consultas!$D$2:$D$1000,$A72,Consultas!$G$2:$G$1000,"&lt;&gt;Sí",Consultas!$B$2:$B$1000,"&gt;="&amp;IF($B$4="",1,$B$4),Consultas!$B$2:$B$1000,"&lt;="&amp;IF($B$5="",2958465,$B$5),Consultas!$F$2:$F$1000,"GAM")</f>
        <v>0</v>
      </c>
      <c r="C72" s="29">
        <f>COUNTIFS(Consultas!$D$2:$D$1000,$A72,Consultas!$G$2:$G$1000,"&lt;&gt;Sí",Consultas!$B$2:$B$1000,"&gt;="&amp;IF($B$4="",1,$B$4),Consultas!$B$2:$B$1000,"&lt;="&amp;IF($B$5="",2958465,$B$5),Consultas!$F$2:$F$1000,"Fuera de GAM")</f>
        <v>0</v>
      </c>
      <c r="D72" s="29">
        <f>COUNTIFS(Consultas!$D$2:$D$1000,$A72,Consultas!$G$2:$G$1000,"&lt;&gt;Sí",Consultas!$B$2:$B$1000,"&gt;="&amp;IF($B$4="",1,$B$4),Consultas!$B$2:$B$1000,"&lt;="&amp;IF($B$5="",2958465,$B$5),Consultas!$F$2:$F$1000,"No dijo")</f>
        <v>0</v>
      </c>
      <c r="E72" s="29">
        <f>$B$14-SUM(B72:D72)</f>
        <v>0</v>
      </c>
    </row>
    <row r="73" spans="1:9" x14ac:dyDescent="0.25">
      <c r="A73" s="28" t="s">
        <v>27</v>
      </c>
      <c r="B73" s="29">
        <f>COUNTIFS(Consultas!$D$2:$D$1000,$A73,Consultas!$G$2:$G$1000,"&lt;&gt;Sí",Consultas!$B$2:$B$1000,"&gt;="&amp;IF($B$4="",1,$B$4),Consultas!$B$2:$B$1000,"&lt;="&amp;IF($B$5="",2958465,$B$5),Consultas!$F$2:$F$1000,"GAM")</f>
        <v>0</v>
      </c>
      <c r="C73" s="29">
        <f>COUNTIFS(Consultas!$D$2:$D$1000,$A73,Consultas!$G$2:$G$1000,"&lt;&gt;Sí",Consultas!$B$2:$B$1000,"&gt;="&amp;IF($B$4="",1,$B$4),Consultas!$B$2:$B$1000,"&lt;="&amp;IF($B$5="",2958465,$B$5),Consultas!$F$2:$F$1000,"Fuera de GAM")</f>
        <v>0</v>
      </c>
      <c r="D73" s="29">
        <f>COUNTIFS(Consultas!$D$2:$D$1000,$A73,Consultas!$G$2:$G$1000,"&lt;&gt;Sí",Consultas!$B$2:$B$1000,"&gt;="&amp;IF($B$4="",1,$B$4),Consultas!$B$2:$B$1000,"&lt;="&amp;IF($B$5="",2958465,$B$5),Consultas!$F$2:$F$1000,"No dijo")</f>
        <v>0</v>
      </c>
      <c r="E73" s="29">
        <f>$B$15-SUM(B73:D73)</f>
        <v>0</v>
      </c>
    </row>
    <row r="74" spans="1:9" x14ac:dyDescent="0.25">
      <c r="A74" s="36" t="s">
        <v>150</v>
      </c>
      <c r="B74" s="37">
        <f>SUM(B68:B73)</f>
        <v>0</v>
      </c>
      <c r="C74" s="37">
        <f>SUM(C68:C73)</f>
        <v>0</v>
      </c>
      <c r="D74" s="37">
        <f>SUM(D68:D73)</f>
        <v>0</v>
      </c>
      <c r="E74" s="37">
        <f>SUM(E68:E73)</f>
        <v>0</v>
      </c>
    </row>
    <row r="76" spans="1:9" x14ac:dyDescent="0.25">
      <c r="A76" s="3" t="s">
        <v>188</v>
      </c>
    </row>
    <row r="77" spans="1:9" ht="30" customHeight="1" x14ac:dyDescent="0.25">
      <c r="A77" s="9" t="s">
        <v>87</v>
      </c>
      <c r="B77" s="9" t="s">
        <v>189</v>
      </c>
      <c r="C77" s="9" t="s">
        <v>190</v>
      </c>
      <c r="D77" s="9" t="s">
        <v>191</v>
      </c>
      <c r="E77" s="9" t="s">
        <v>192</v>
      </c>
      <c r="F77" s="9" t="s">
        <v>193</v>
      </c>
      <c r="G77" s="9" t="s">
        <v>194</v>
      </c>
      <c r="H77" s="9" t="s">
        <v>195</v>
      </c>
      <c r="I77" s="9" t="s">
        <v>196</v>
      </c>
    </row>
    <row r="78" spans="1:9" x14ac:dyDescent="0.25">
      <c r="A78" s="28" t="s">
        <v>147</v>
      </c>
      <c r="B78" s="29">
        <f>COUNTIFS(Consultas!$D$2:$D$1000,$A78,Consultas!$G$2:$G$1000,"&lt;&gt;Sí",Consultas!$B$2:$B$1000,"&gt;="&amp;IF($B$4="",1,$B$4),Consultas!$B$2:$B$1000,"&lt;="&amp;IF($B$5="",2958465,$B$5),Consultas!$N$2:$N$1000,"Precio")</f>
        <v>0</v>
      </c>
      <c r="C78" s="29">
        <f>COUNTIFS(Consultas!$D$2:$D$1000,$A78,Consultas!$G$2:$G$1000,"&lt;&gt;Sí",Consultas!$B$2:$B$1000,"&gt;="&amp;IF($B$4="",1,$B$4),Consultas!$B$2:$B$1000,"&lt;="&amp;IF($B$5="",2958465,$B$5),Consultas!$N$2:$N$1000,"Compatibilidad")</f>
        <v>0</v>
      </c>
      <c r="D78" s="29">
        <f>COUNTIFS(Consultas!$D$2:$D$1000,$A78,Consultas!$G$2:$G$1000,"&lt;&gt;Sí",Consultas!$B$2:$B$1000,"&gt;="&amp;IF($B$4="",1,$B$4),Consultas!$B$2:$B$1000,"&lt;="&amp;IF($B$5="",2958465,$B$5),Consultas!$N$2:$N$1000,"Envío")</f>
        <v>0</v>
      </c>
      <c r="E78" s="29">
        <f>COUNTIFS(Consultas!$D$2:$D$1000,$A78,Consultas!$G$2:$G$1000,"&lt;&gt;Sí",Consultas!$B$2:$B$1000,"&gt;="&amp;IF($B$4="",1,$B$4),Consultas!$B$2:$B$1000,"&lt;="&amp;IF($B$5="",2958465,$B$5),Consultas!$N$2:$N$1000,"Garantía")</f>
        <v>0</v>
      </c>
      <c r="F78" s="29">
        <f>COUNTIFS(Consultas!$D$2:$D$1000,$A78,Consultas!$G$2:$G$1000,"&lt;&gt;Sí",Consultas!$B$2:$B$1000,"&gt;="&amp;IF($B$4="",1,$B$4),Consultas!$B$2:$B$1000,"&lt;="&amp;IF($B$5="",2958465,$B$5),Consultas!$N$2:$N$1000,"Confianza")</f>
        <v>0</v>
      </c>
      <c r="G78" s="29">
        <f>COUNTIFS(Consultas!$D$2:$D$1000,$A78,Consultas!$G$2:$G$1000,"&lt;&gt;Sí",Consultas!$B$2:$B$1000,"&gt;="&amp;IF($B$4="",1,$B$4),Consultas!$B$2:$B$1000,"&lt;="&amp;IF($B$5="",2958465,$B$5),Consultas!$N$2:$N$1000,"Stock")</f>
        <v>0</v>
      </c>
      <c r="H78" s="29">
        <f>COUNTIFS(Consultas!$D$2:$D$1000,$A78,Consultas!$G$2:$G$1000,"&lt;&gt;Sí",Consultas!$B$2:$B$1000,"&gt;="&amp;IF($B$4="",1,$B$4),Consultas!$B$2:$B$1000,"&lt;="&amp;IF($B$5="",2958465,$B$5),Consultas!$N$2:$N$1000,"Otra")</f>
        <v>0</v>
      </c>
      <c r="I78" s="29">
        <f>$B$10-SUM(B78:H78)</f>
        <v>0</v>
      </c>
    </row>
    <row r="79" spans="1:9" x14ac:dyDescent="0.25">
      <c r="A79" s="28" t="s">
        <v>148</v>
      </c>
      <c r="B79" s="29">
        <f>COUNTIFS(Consultas!$D$2:$D$1000,$A79,Consultas!$G$2:$G$1000,"&lt;&gt;Sí",Consultas!$B$2:$B$1000,"&gt;="&amp;IF($B$4="",1,$B$4),Consultas!$B$2:$B$1000,"&lt;="&amp;IF($B$5="",2958465,$B$5),Consultas!$N$2:$N$1000,"Precio")</f>
        <v>0</v>
      </c>
      <c r="C79" s="29">
        <f>COUNTIFS(Consultas!$D$2:$D$1000,$A79,Consultas!$G$2:$G$1000,"&lt;&gt;Sí",Consultas!$B$2:$B$1000,"&gt;="&amp;IF($B$4="",1,$B$4),Consultas!$B$2:$B$1000,"&lt;="&amp;IF($B$5="",2958465,$B$5),Consultas!$N$2:$N$1000,"Compatibilidad")</f>
        <v>0</v>
      </c>
      <c r="D79" s="29">
        <f>COUNTIFS(Consultas!$D$2:$D$1000,$A79,Consultas!$G$2:$G$1000,"&lt;&gt;Sí",Consultas!$B$2:$B$1000,"&gt;="&amp;IF($B$4="",1,$B$4),Consultas!$B$2:$B$1000,"&lt;="&amp;IF($B$5="",2958465,$B$5),Consultas!$N$2:$N$1000,"Envío")</f>
        <v>0</v>
      </c>
      <c r="E79" s="29">
        <f>COUNTIFS(Consultas!$D$2:$D$1000,$A79,Consultas!$G$2:$G$1000,"&lt;&gt;Sí",Consultas!$B$2:$B$1000,"&gt;="&amp;IF($B$4="",1,$B$4),Consultas!$B$2:$B$1000,"&lt;="&amp;IF($B$5="",2958465,$B$5),Consultas!$N$2:$N$1000,"Garantía")</f>
        <v>0</v>
      </c>
      <c r="F79" s="29">
        <f>COUNTIFS(Consultas!$D$2:$D$1000,$A79,Consultas!$G$2:$G$1000,"&lt;&gt;Sí",Consultas!$B$2:$B$1000,"&gt;="&amp;IF($B$4="",1,$B$4),Consultas!$B$2:$B$1000,"&lt;="&amp;IF($B$5="",2958465,$B$5),Consultas!$N$2:$N$1000,"Confianza")</f>
        <v>0</v>
      </c>
      <c r="G79" s="29">
        <f>COUNTIFS(Consultas!$D$2:$D$1000,$A79,Consultas!$G$2:$G$1000,"&lt;&gt;Sí",Consultas!$B$2:$B$1000,"&gt;="&amp;IF($B$4="",1,$B$4),Consultas!$B$2:$B$1000,"&lt;="&amp;IF($B$5="",2958465,$B$5),Consultas!$N$2:$N$1000,"Stock")</f>
        <v>0</v>
      </c>
      <c r="H79" s="29">
        <f>COUNTIFS(Consultas!$D$2:$D$1000,$A79,Consultas!$G$2:$G$1000,"&lt;&gt;Sí",Consultas!$B$2:$B$1000,"&gt;="&amp;IF($B$4="",1,$B$4),Consultas!$B$2:$B$1000,"&lt;="&amp;IF($B$5="",2958465,$B$5),Consultas!$N$2:$N$1000,"Otra")</f>
        <v>0</v>
      </c>
      <c r="I79" s="29">
        <f>$B$11-SUM(B79:H79)</f>
        <v>0</v>
      </c>
    </row>
    <row r="80" spans="1:9" x14ac:dyDescent="0.25">
      <c r="A80" s="28" t="s">
        <v>19</v>
      </c>
      <c r="B80" s="29">
        <f>COUNTIFS(Consultas!$D$2:$D$1000,$A80,Consultas!$G$2:$G$1000,"&lt;&gt;Sí",Consultas!$B$2:$B$1000,"&gt;="&amp;IF($B$4="",1,$B$4),Consultas!$B$2:$B$1000,"&lt;="&amp;IF($B$5="",2958465,$B$5),Consultas!$N$2:$N$1000,"Precio")</f>
        <v>0</v>
      </c>
      <c r="C80" s="29">
        <f>COUNTIFS(Consultas!$D$2:$D$1000,$A80,Consultas!$G$2:$G$1000,"&lt;&gt;Sí",Consultas!$B$2:$B$1000,"&gt;="&amp;IF($B$4="",1,$B$4),Consultas!$B$2:$B$1000,"&lt;="&amp;IF($B$5="",2958465,$B$5),Consultas!$N$2:$N$1000,"Compatibilidad")</f>
        <v>0</v>
      </c>
      <c r="D80" s="29">
        <f>COUNTIFS(Consultas!$D$2:$D$1000,$A80,Consultas!$G$2:$G$1000,"&lt;&gt;Sí",Consultas!$B$2:$B$1000,"&gt;="&amp;IF($B$4="",1,$B$4),Consultas!$B$2:$B$1000,"&lt;="&amp;IF($B$5="",2958465,$B$5),Consultas!$N$2:$N$1000,"Envío")</f>
        <v>0</v>
      </c>
      <c r="E80" s="29">
        <f>COUNTIFS(Consultas!$D$2:$D$1000,$A80,Consultas!$G$2:$G$1000,"&lt;&gt;Sí",Consultas!$B$2:$B$1000,"&gt;="&amp;IF($B$4="",1,$B$4),Consultas!$B$2:$B$1000,"&lt;="&amp;IF($B$5="",2958465,$B$5),Consultas!$N$2:$N$1000,"Garantía")</f>
        <v>0</v>
      </c>
      <c r="F80" s="29">
        <f>COUNTIFS(Consultas!$D$2:$D$1000,$A80,Consultas!$G$2:$G$1000,"&lt;&gt;Sí",Consultas!$B$2:$B$1000,"&gt;="&amp;IF($B$4="",1,$B$4),Consultas!$B$2:$B$1000,"&lt;="&amp;IF($B$5="",2958465,$B$5),Consultas!$N$2:$N$1000,"Confianza")</f>
        <v>0</v>
      </c>
      <c r="G80" s="29">
        <f>COUNTIFS(Consultas!$D$2:$D$1000,$A80,Consultas!$G$2:$G$1000,"&lt;&gt;Sí",Consultas!$B$2:$B$1000,"&gt;="&amp;IF($B$4="",1,$B$4),Consultas!$B$2:$B$1000,"&lt;="&amp;IF($B$5="",2958465,$B$5),Consultas!$N$2:$N$1000,"Stock")</f>
        <v>0</v>
      </c>
      <c r="H80" s="29">
        <f>COUNTIFS(Consultas!$D$2:$D$1000,$A80,Consultas!$G$2:$G$1000,"&lt;&gt;Sí",Consultas!$B$2:$B$1000,"&gt;="&amp;IF($B$4="",1,$B$4),Consultas!$B$2:$B$1000,"&lt;="&amp;IF($B$5="",2958465,$B$5),Consultas!$N$2:$N$1000,"Otra")</f>
        <v>0</v>
      </c>
      <c r="I80" s="29">
        <f>$B$12-SUM(B80:H80)</f>
        <v>0</v>
      </c>
    </row>
    <row r="81" spans="1:9" x14ac:dyDescent="0.25">
      <c r="A81" s="28" t="s">
        <v>21</v>
      </c>
      <c r="B81" s="29">
        <f>COUNTIFS(Consultas!$D$2:$D$1000,$A81,Consultas!$G$2:$G$1000,"&lt;&gt;Sí",Consultas!$B$2:$B$1000,"&gt;="&amp;IF($B$4="",1,$B$4),Consultas!$B$2:$B$1000,"&lt;="&amp;IF($B$5="",2958465,$B$5),Consultas!$N$2:$N$1000,"Precio")</f>
        <v>0</v>
      </c>
      <c r="C81" s="29">
        <f>COUNTIFS(Consultas!$D$2:$D$1000,$A81,Consultas!$G$2:$G$1000,"&lt;&gt;Sí",Consultas!$B$2:$B$1000,"&gt;="&amp;IF($B$4="",1,$B$4),Consultas!$B$2:$B$1000,"&lt;="&amp;IF($B$5="",2958465,$B$5),Consultas!$N$2:$N$1000,"Compatibilidad")</f>
        <v>0</v>
      </c>
      <c r="D81" s="29">
        <f>COUNTIFS(Consultas!$D$2:$D$1000,$A81,Consultas!$G$2:$G$1000,"&lt;&gt;Sí",Consultas!$B$2:$B$1000,"&gt;="&amp;IF($B$4="",1,$B$4),Consultas!$B$2:$B$1000,"&lt;="&amp;IF($B$5="",2958465,$B$5),Consultas!$N$2:$N$1000,"Envío")</f>
        <v>0</v>
      </c>
      <c r="E81" s="29">
        <f>COUNTIFS(Consultas!$D$2:$D$1000,$A81,Consultas!$G$2:$G$1000,"&lt;&gt;Sí",Consultas!$B$2:$B$1000,"&gt;="&amp;IF($B$4="",1,$B$4),Consultas!$B$2:$B$1000,"&lt;="&amp;IF($B$5="",2958465,$B$5),Consultas!$N$2:$N$1000,"Garantía")</f>
        <v>0</v>
      </c>
      <c r="F81" s="29">
        <f>COUNTIFS(Consultas!$D$2:$D$1000,$A81,Consultas!$G$2:$G$1000,"&lt;&gt;Sí",Consultas!$B$2:$B$1000,"&gt;="&amp;IF($B$4="",1,$B$4),Consultas!$B$2:$B$1000,"&lt;="&amp;IF($B$5="",2958465,$B$5),Consultas!$N$2:$N$1000,"Confianza")</f>
        <v>0</v>
      </c>
      <c r="G81" s="29">
        <f>COUNTIFS(Consultas!$D$2:$D$1000,$A81,Consultas!$G$2:$G$1000,"&lt;&gt;Sí",Consultas!$B$2:$B$1000,"&gt;="&amp;IF($B$4="",1,$B$4),Consultas!$B$2:$B$1000,"&lt;="&amp;IF($B$5="",2958465,$B$5),Consultas!$N$2:$N$1000,"Stock")</f>
        <v>0</v>
      </c>
      <c r="H81" s="29">
        <f>COUNTIFS(Consultas!$D$2:$D$1000,$A81,Consultas!$G$2:$G$1000,"&lt;&gt;Sí",Consultas!$B$2:$B$1000,"&gt;="&amp;IF($B$4="",1,$B$4),Consultas!$B$2:$B$1000,"&lt;="&amp;IF($B$5="",2958465,$B$5),Consultas!$N$2:$N$1000,"Otra")</f>
        <v>0</v>
      </c>
      <c r="I81" s="29">
        <f>$B$13-SUM(B81:H81)</f>
        <v>0</v>
      </c>
    </row>
    <row r="82" spans="1:9" x14ac:dyDescent="0.25">
      <c r="A82" s="28" t="s">
        <v>25</v>
      </c>
      <c r="B82" s="29">
        <f>COUNTIFS(Consultas!$D$2:$D$1000,$A82,Consultas!$G$2:$G$1000,"&lt;&gt;Sí",Consultas!$B$2:$B$1000,"&gt;="&amp;IF($B$4="",1,$B$4),Consultas!$B$2:$B$1000,"&lt;="&amp;IF($B$5="",2958465,$B$5),Consultas!$N$2:$N$1000,"Precio")</f>
        <v>0</v>
      </c>
      <c r="C82" s="29">
        <f>COUNTIFS(Consultas!$D$2:$D$1000,$A82,Consultas!$G$2:$G$1000,"&lt;&gt;Sí",Consultas!$B$2:$B$1000,"&gt;="&amp;IF($B$4="",1,$B$4),Consultas!$B$2:$B$1000,"&lt;="&amp;IF($B$5="",2958465,$B$5),Consultas!$N$2:$N$1000,"Compatibilidad")</f>
        <v>0</v>
      </c>
      <c r="D82" s="29">
        <f>COUNTIFS(Consultas!$D$2:$D$1000,$A82,Consultas!$G$2:$G$1000,"&lt;&gt;Sí",Consultas!$B$2:$B$1000,"&gt;="&amp;IF($B$4="",1,$B$4),Consultas!$B$2:$B$1000,"&lt;="&amp;IF($B$5="",2958465,$B$5),Consultas!$N$2:$N$1000,"Envío")</f>
        <v>0</v>
      </c>
      <c r="E82" s="29">
        <f>COUNTIFS(Consultas!$D$2:$D$1000,$A82,Consultas!$G$2:$G$1000,"&lt;&gt;Sí",Consultas!$B$2:$B$1000,"&gt;="&amp;IF($B$4="",1,$B$4),Consultas!$B$2:$B$1000,"&lt;="&amp;IF($B$5="",2958465,$B$5),Consultas!$N$2:$N$1000,"Garantía")</f>
        <v>0</v>
      </c>
      <c r="F82" s="29">
        <f>COUNTIFS(Consultas!$D$2:$D$1000,$A82,Consultas!$G$2:$G$1000,"&lt;&gt;Sí",Consultas!$B$2:$B$1000,"&gt;="&amp;IF($B$4="",1,$B$4),Consultas!$B$2:$B$1000,"&lt;="&amp;IF($B$5="",2958465,$B$5),Consultas!$N$2:$N$1000,"Confianza")</f>
        <v>0</v>
      </c>
      <c r="G82" s="29">
        <f>COUNTIFS(Consultas!$D$2:$D$1000,$A82,Consultas!$G$2:$G$1000,"&lt;&gt;Sí",Consultas!$B$2:$B$1000,"&gt;="&amp;IF($B$4="",1,$B$4),Consultas!$B$2:$B$1000,"&lt;="&amp;IF($B$5="",2958465,$B$5),Consultas!$N$2:$N$1000,"Stock")</f>
        <v>0</v>
      </c>
      <c r="H82" s="29">
        <f>COUNTIFS(Consultas!$D$2:$D$1000,$A82,Consultas!$G$2:$G$1000,"&lt;&gt;Sí",Consultas!$B$2:$B$1000,"&gt;="&amp;IF($B$4="",1,$B$4),Consultas!$B$2:$B$1000,"&lt;="&amp;IF($B$5="",2958465,$B$5),Consultas!$N$2:$N$1000,"Otra")</f>
        <v>0</v>
      </c>
      <c r="I82" s="29">
        <f>$B$14-SUM(B82:H82)</f>
        <v>0</v>
      </c>
    </row>
    <row r="83" spans="1:9" x14ac:dyDescent="0.25">
      <c r="A83" s="28" t="s">
        <v>27</v>
      </c>
      <c r="B83" s="29">
        <f>COUNTIFS(Consultas!$D$2:$D$1000,$A83,Consultas!$G$2:$G$1000,"&lt;&gt;Sí",Consultas!$B$2:$B$1000,"&gt;="&amp;IF($B$4="",1,$B$4),Consultas!$B$2:$B$1000,"&lt;="&amp;IF($B$5="",2958465,$B$5),Consultas!$N$2:$N$1000,"Precio")</f>
        <v>0</v>
      </c>
      <c r="C83" s="29">
        <f>COUNTIFS(Consultas!$D$2:$D$1000,$A83,Consultas!$G$2:$G$1000,"&lt;&gt;Sí",Consultas!$B$2:$B$1000,"&gt;="&amp;IF($B$4="",1,$B$4),Consultas!$B$2:$B$1000,"&lt;="&amp;IF($B$5="",2958465,$B$5),Consultas!$N$2:$N$1000,"Compatibilidad")</f>
        <v>0</v>
      </c>
      <c r="D83" s="29">
        <f>COUNTIFS(Consultas!$D$2:$D$1000,$A83,Consultas!$G$2:$G$1000,"&lt;&gt;Sí",Consultas!$B$2:$B$1000,"&gt;="&amp;IF($B$4="",1,$B$4),Consultas!$B$2:$B$1000,"&lt;="&amp;IF($B$5="",2958465,$B$5),Consultas!$N$2:$N$1000,"Envío")</f>
        <v>0</v>
      </c>
      <c r="E83" s="29">
        <f>COUNTIFS(Consultas!$D$2:$D$1000,$A83,Consultas!$G$2:$G$1000,"&lt;&gt;Sí",Consultas!$B$2:$B$1000,"&gt;="&amp;IF($B$4="",1,$B$4),Consultas!$B$2:$B$1000,"&lt;="&amp;IF($B$5="",2958465,$B$5),Consultas!$N$2:$N$1000,"Garantía")</f>
        <v>0</v>
      </c>
      <c r="F83" s="29">
        <f>COUNTIFS(Consultas!$D$2:$D$1000,$A83,Consultas!$G$2:$G$1000,"&lt;&gt;Sí",Consultas!$B$2:$B$1000,"&gt;="&amp;IF($B$4="",1,$B$4),Consultas!$B$2:$B$1000,"&lt;="&amp;IF($B$5="",2958465,$B$5),Consultas!$N$2:$N$1000,"Confianza")</f>
        <v>0</v>
      </c>
      <c r="G83" s="29">
        <f>COUNTIFS(Consultas!$D$2:$D$1000,$A83,Consultas!$G$2:$G$1000,"&lt;&gt;Sí",Consultas!$B$2:$B$1000,"&gt;="&amp;IF($B$4="",1,$B$4),Consultas!$B$2:$B$1000,"&lt;="&amp;IF($B$5="",2958465,$B$5),Consultas!$N$2:$N$1000,"Stock")</f>
        <v>0</v>
      </c>
      <c r="H83" s="29">
        <f>COUNTIFS(Consultas!$D$2:$D$1000,$A83,Consultas!$G$2:$G$1000,"&lt;&gt;Sí",Consultas!$B$2:$B$1000,"&gt;="&amp;IF($B$4="",1,$B$4),Consultas!$B$2:$B$1000,"&lt;="&amp;IF($B$5="",2958465,$B$5),Consultas!$N$2:$N$1000,"Otra")</f>
        <v>0</v>
      </c>
      <c r="I83" s="29">
        <f>$B$15-SUM(B83:H83)</f>
        <v>0</v>
      </c>
    </row>
    <row r="84" spans="1:9" x14ac:dyDescent="0.25">
      <c r="A84" s="36" t="s">
        <v>150</v>
      </c>
      <c r="B84" s="37">
        <f t="shared" ref="B84:I84" si="7">SUM(B78:B83)</f>
        <v>0</v>
      </c>
      <c r="C84" s="37">
        <f t="shared" si="7"/>
        <v>0</v>
      </c>
      <c r="D84" s="37">
        <f t="shared" si="7"/>
        <v>0</v>
      </c>
      <c r="E84" s="37">
        <f t="shared" si="7"/>
        <v>0</v>
      </c>
      <c r="F84" s="37">
        <f t="shared" si="7"/>
        <v>0</v>
      </c>
      <c r="G84" s="37">
        <f t="shared" si="7"/>
        <v>0</v>
      </c>
      <c r="H84" s="37">
        <f t="shared" si="7"/>
        <v>0</v>
      </c>
      <c r="I84" s="37">
        <f t="shared" si="7"/>
        <v>0</v>
      </c>
    </row>
    <row r="86" spans="1:9" x14ac:dyDescent="0.25">
      <c r="A86" s="3" t="s">
        <v>197</v>
      </c>
    </row>
    <row r="87" spans="1:9" ht="30" customHeight="1" x14ac:dyDescent="0.25">
      <c r="A87" s="9" t="s">
        <v>87</v>
      </c>
      <c r="B87" s="9" t="s">
        <v>198</v>
      </c>
      <c r="C87" s="9" t="s">
        <v>199</v>
      </c>
      <c r="D87" s="9" t="s">
        <v>200</v>
      </c>
    </row>
    <row r="88" spans="1:9" x14ac:dyDescent="0.25">
      <c r="A88" s="28" t="s">
        <v>147</v>
      </c>
      <c r="B88" s="29">
        <f>COUNTIFS(Consultas!$D$2:$D$1000,$A88,Consultas!$G$2:$G$1000,"&lt;&gt;Sí",Consultas!$B$2:$B$1000,"&gt;="&amp;IF($B$4="",1,$B$4),Consultas!$B$2:$B$1000,"&lt;="&amp;IF($B$5="",2958465,$B$5),Consultas!$M$2:$M$1000,"&gt;=0")</f>
        <v>0</v>
      </c>
      <c r="C88" s="29">
        <f>SUMIFS(Consultas!$M$2:$M$1000,Consultas!$D$2:$D$1000,$A88,Consultas!$G$2:$G$1000,"&lt;&gt;Sí",Consultas!$B$2:$B$1000,"&gt;="&amp;IF($B$4="",1,$B$4),Consultas!$B$2:$B$1000,"&lt;="&amp;IF($B$5="",2958465,$B$5),Consultas!$M$2:$M$1000,"&gt;=0")</f>
        <v>0</v>
      </c>
      <c r="D88" s="50" t="str">
        <f t="shared" ref="D88:D94" si="8">IF(B88=0,"NO CALCULABLE",C88/B88)</f>
        <v>NO CALCULABLE</v>
      </c>
    </row>
    <row r="89" spans="1:9" x14ac:dyDescent="0.25">
      <c r="A89" s="28" t="s">
        <v>148</v>
      </c>
      <c r="B89" s="29">
        <f>COUNTIFS(Consultas!$D$2:$D$1000,$A89,Consultas!$G$2:$G$1000,"&lt;&gt;Sí",Consultas!$B$2:$B$1000,"&gt;="&amp;IF($B$4="",1,$B$4),Consultas!$B$2:$B$1000,"&lt;="&amp;IF($B$5="",2958465,$B$5),Consultas!$M$2:$M$1000,"&gt;=0")</f>
        <v>0</v>
      </c>
      <c r="C89" s="29">
        <f>SUMIFS(Consultas!$M$2:$M$1000,Consultas!$D$2:$D$1000,$A89,Consultas!$G$2:$G$1000,"&lt;&gt;Sí",Consultas!$B$2:$B$1000,"&gt;="&amp;IF($B$4="",1,$B$4),Consultas!$B$2:$B$1000,"&lt;="&amp;IF($B$5="",2958465,$B$5),Consultas!$M$2:$M$1000,"&gt;=0")</f>
        <v>0</v>
      </c>
      <c r="D89" s="50" t="str">
        <f t="shared" si="8"/>
        <v>NO CALCULABLE</v>
      </c>
    </row>
    <row r="90" spans="1:9" x14ac:dyDescent="0.25">
      <c r="A90" s="28" t="s">
        <v>19</v>
      </c>
      <c r="B90" s="29">
        <f>COUNTIFS(Consultas!$D$2:$D$1000,$A90,Consultas!$G$2:$G$1000,"&lt;&gt;Sí",Consultas!$B$2:$B$1000,"&gt;="&amp;IF($B$4="",1,$B$4),Consultas!$B$2:$B$1000,"&lt;="&amp;IF($B$5="",2958465,$B$5),Consultas!$M$2:$M$1000,"&gt;=0")</f>
        <v>0</v>
      </c>
      <c r="C90" s="29">
        <f>SUMIFS(Consultas!$M$2:$M$1000,Consultas!$D$2:$D$1000,$A90,Consultas!$G$2:$G$1000,"&lt;&gt;Sí",Consultas!$B$2:$B$1000,"&gt;="&amp;IF($B$4="",1,$B$4),Consultas!$B$2:$B$1000,"&lt;="&amp;IF($B$5="",2958465,$B$5),Consultas!$M$2:$M$1000,"&gt;=0")</f>
        <v>0</v>
      </c>
      <c r="D90" s="50" t="str">
        <f t="shared" si="8"/>
        <v>NO CALCULABLE</v>
      </c>
    </row>
    <row r="91" spans="1:9" x14ac:dyDescent="0.25">
      <c r="A91" s="28" t="s">
        <v>21</v>
      </c>
      <c r="B91" s="29">
        <f>COUNTIFS(Consultas!$D$2:$D$1000,$A91,Consultas!$G$2:$G$1000,"&lt;&gt;Sí",Consultas!$B$2:$B$1000,"&gt;="&amp;IF($B$4="",1,$B$4),Consultas!$B$2:$B$1000,"&lt;="&amp;IF($B$5="",2958465,$B$5),Consultas!$M$2:$M$1000,"&gt;=0")</f>
        <v>0</v>
      </c>
      <c r="C91" s="29">
        <f>SUMIFS(Consultas!$M$2:$M$1000,Consultas!$D$2:$D$1000,$A91,Consultas!$G$2:$G$1000,"&lt;&gt;Sí",Consultas!$B$2:$B$1000,"&gt;="&amp;IF($B$4="",1,$B$4),Consultas!$B$2:$B$1000,"&lt;="&amp;IF($B$5="",2958465,$B$5),Consultas!$M$2:$M$1000,"&gt;=0")</f>
        <v>0</v>
      </c>
      <c r="D91" s="50" t="str">
        <f t="shared" si="8"/>
        <v>NO CALCULABLE</v>
      </c>
    </row>
    <row r="92" spans="1:9" x14ac:dyDescent="0.25">
      <c r="A92" s="28" t="s">
        <v>25</v>
      </c>
      <c r="B92" s="29">
        <f>COUNTIFS(Consultas!$D$2:$D$1000,$A92,Consultas!$G$2:$G$1000,"&lt;&gt;Sí",Consultas!$B$2:$B$1000,"&gt;="&amp;IF($B$4="",1,$B$4),Consultas!$B$2:$B$1000,"&lt;="&amp;IF($B$5="",2958465,$B$5),Consultas!$M$2:$M$1000,"&gt;=0")</f>
        <v>0</v>
      </c>
      <c r="C92" s="29">
        <f>SUMIFS(Consultas!$M$2:$M$1000,Consultas!$D$2:$D$1000,$A92,Consultas!$G$2:$G$1000,"&lt;&gt;Sí",Consultas!$B$2:$B$1000,"&gt;="&amp;IF($B$4="",1,$B$4),Consultas!$B$2:$B$1000,"&lt;="&amp;IF($B$5="",2958465,$B$5),Consultas!$M$2:$M$1000,"&gt;=0")</f>
        <v>0</v>
      </c>
      <c r="D92" s="50" t="str">
        <f t="shared" si="8"/>
        <v>NO CALCULABLE</v>
      </c>
    </row>
    <row r="93" spans="1:9" x14ac:dyDescent="0.25">
      <c r="A93" s="28" t="s">
        <v>27</v>
      </c>
      <c r="B93" s="29">
        <f>COUNTIFS(Consultas!$D$2:$D$1000,$A93,Consultas!$G$2:$G$1000,"&lt;&gt;Sí",Consultas!$B$2:$B$1000,"&gt;="&amp;IF($B$4="",1,$B$4),Consultas!$B$2:$B$1000,"&lt;="&amp;IF($B$5="",2958465,$B$5),Consultas!$M$2:$M$1000,"&gt;=0")</f>
        <v>0</v>
      </c>
      <c r="C93" s="29">
        <f>SUMIFS(Consultas!$M$2:$M$1000,Consultas!$D$2:$D$1000,$A93,Consultas!$G$2:$G$1000,"&lt;&gt;Sí",Consultas!$B$2:$B$1000,"&gt;="&amp;IF($B$4="",1,$B$4),Consultas!$B$2:$B$1000,"&lt;="&amp;IF($B$5="",2958465,$B$5),Consultas!$M$2:$M$1000,"&gt;=0")</f>
        <v>0</v>
      </c>
      <c r="D93" s="50" t="str">
        <f t="shared" si="8"/>
        <v>NO CALCULABLE</v>
      </c>
    </row>
    <row r="94" spans="1:9" x14ac:dyDescent="0.25">
      <c r="A94" s="36" t="s">
        <v>150</v>
      </c>
      <c r="B94" s="37">
        <f>SUM(B88:B93)</f>
        <v>0</v>
      </c>
      <c r="C94" s="37">
        <f>SUM(C88:C93)</f>
        <v>0</v>
      </c>
      <c r="D94" s="51" t="str">
        <f t="shared" si="8"/>
        <v>NO CALCULABLE</v>
      </c>
    </row>
    <row r="95" spans="1:9" x14ac:dyDescent="0.25">
      <c r="A95" s="2" t="s">
        <v>201</v>
      </c>
    </row>
    <row r="97" spans="1:9" x14ac:dyDescent="0.25">
      <c r="A97" s="3" t="s">
        <v>202</v>
      </c>
    </row>
    <row r="98" spans="1:9" x14ac:dyDescent="0.25">
      <c r="A98" s="56" t="s">
        <v>203</v>
      </c>
      <c r="B98" s="53"/>
      <c r="C98" s="53"/>
      <c r="D98" s="53"/>
      <c r="E98" s="53"/>
      <c r="F98" s="53"/>
      <c r="G98" s="53"/>
      <c r="H98" s="53"/>
      <c r="I98" s="45">
        <f>SUMPRODUCT((LEN(Consultas!$B$2:$B$1000)&gt;0)*(LEN(Consultas!$D$2:$D$1000)=0))</f>
        <v>0</v>
      </c>
    </row>
    <row r="99" spans="1:9" x14ac:dyDescent="0.25">
      <c r="A99" s="56" t="s">
        <v>204</v>
      </c>
      <c r="B99" s="53"/>
      <c r="C99" s="53"/>
      <c r="D99" s="53"/>
      <c r="E99" s="53"/>
      <c r="F99" s="53"/>
      <c r="G99" s="53"/>
      <c r="H99" s="53"/>
      <c r="I99" s="45">
        <f>SUMPRODUCT((LEN(Consultas!$D$2:$D$1000)&gt;0)*(LEN(Consultas!$B$2:$B$1000)=0))</f>
        <v>0</v>
      </c>
    </row>
    <row r="100" spans="1:9" x14ac:dyDescent="0.25">
      <c r="A100" s="56" t="s">
        <v>205</v>
      </c>
      <c r="B100" s="53"/>
      <c r="C100" s="53"/>
      <c r="D100" s="53"/>
      <c r="E100" s="53"/>
      <c r="F100" s="53"/>
      <c r="G100" s="53"/>
      <c r="H100" s="53"/>
      <c r="I100" s="45">
        <f>SUMPRODUCT((Consultas!$H$2:$H$1000="Sí")*(Consultas!$F$2:$F$1000&lt;&gt;"GAM")*(Consultas!$F$2:$F$1000&lt;&gt;"Fuera de GAM"))</f>
        <v>0</v>
      </c>
    </row>
    <row r="101" spans="1:9" x14ac:dyDescent="0.25">
      <c r="A101" s="56" t="s">
        <v>206</v>
      </c>
      <c r="B101" s="53"/>
      <c r="C101" s="53"/>
      <c r="D101" s="53"/>
      <c r="E101" s="53"/>
      <c r="F101" s="53"/>
      <c r="G101" s="53"/>
      <c r="H101" s="53"/>
      <c r="I101" s="45">
        <f>SUMPRODUCT((Consultas!$J$2:$J$1000="Sí")*(Consultas!$H$2:$H$1000&lt;&gt;"Sí"))</f>
        <v>0</v>
      </c>
    </row>
    <row r="102" spans="1:9" x14ac:dyDescent="0.25">
      <c r="A102" s="56" t="s">
        <v>207</v>
      </c>
      <c r="B102" s="53"/>
      <c r="C102" s="53"/>
      <c r="D102" s="53"/>
      <c r="E102" s="53"/>
      <c r="F102" s="53"/>
      <c r="G102" s="53"/>
      <c r="H102" s="53"/>
      <c r="I102" s="45">
        <f>SUMPRODUCT((Consultas!$K$2:$K$1000="Sí")*(Consultas!$J$2:$J$1000&lt;&gt;"Sí"))</f>
        <v>0</v>
      </c>
    </row>
    <row r="103" spans="1:9" x14ac:dyDescent="0.25">
      <c r="A103" s="56" t="s">
        <v>208</v>
      </c>
      <c r="B103" s="53"/>
      <c r="C103" s="53"/>
      <c r="D103" s="53"/>
      <c r="E103" s="53"/>
      <c r="F103" s="53"/>
      <c r="G103" s="53"/>
      <c r="H103" s="53"/>
      <c r="I103" s="45">
        <f>SUMPRODUCT((Consultas!$K$2:$K$1000="Sí")*(LEN(Consultas!$L$2:$L$1000)=0))</f>
        <v>0</v>
      </c>
    </row>
    <row r="104" spans="1:9" x14ac:dyDescent="0.25">
      <c r="A104" s="56" t="s">
        <v>209</v>
      </c>
      <c r="B104" s="53"/>
      <c r="C104" s="53"/>
      <c r="D104" s="53"/>
      <c r="E104" s="53"/>
      <c r="F104" s="53"/>
      <c r="G104" s="53"/>
      <c r="H104" s="53"/>
      <c r="I104" s="45">
        <f>SUMPRODUCT((LEN(Consultas!$L$2:$L$1000)&gt;0)*(Consultas!$K$2:$K$1000&lt;&gt;"Sí"))</f>
        <v>0</v>
      </c>
    </row>
    <row r="105" spans="1:9" x14ac:dyDescent="0.25">
      <c r="A105" s="56" t="s">
        <v>210</v>
      </c>
      <c r="B105" s="53"/>
      <c r="C105" s="53"/>
      <c r="D105" s="53"/>
      <c r="E105" s="53"/>
      <c r="F105" s="53"/>
      <c r="G105" s="53"/>
      <c r="H105" s="53"/>
      <c r="I105" s="45">
        <f>SUMPRODUCT((LEN(Consultas!$D$2:$D$1000)&gt;0)*(LEN(Consultas!$C$2:$C$1000)=0))</f>
        <v>0</v>
      </c>
    </row>
    <row r="106" spans="1:9" x14ac:dyDescent="0.25">
      <c r="A106" s="56" t="s">
        <v>211</v>
      </c>
      <c r="B106" s="53"/>
      <c r="C106" s="53"/>
      <c r="D106" s="53"/>
      <c r="E106" s="53"/>
      <c r="F106" s="53"/>
      <c r="G106" s="53"/>
      <c r="H106" s="53"/>
      <c r="I106" s="20">
        <f>COUNTIF(Consultas!$G$2:$G$1000,"Sí")</f>
        <v>0</v>
      </c>
    </row>
  </sheetData>
  <mergeCells count="18">
    <mergeCell ref="B6:K6"/>
    <mergeCell ref="A47:H47"/>
    <mergeCell ref="A102:H102"/>
    <mergeCell ref="B64:K64"/>
    <mergeCell ref="A100:H100"/>
    <mergeCell ref="A101:H101"/>
    <mergeCell ref="A106:H106"/>
    <mergeCell ref="A53:H53"/>
    <mergeCell ref="A48:K48"/>
    <mergeCell ref="A105:H105"/>
    <mergeCell ref="A54:H54"/>
    <mergeCell ref="A51:H51"/>
    <mergeCell ref="A52:H52"/>
    <mergeCell ref="A99:H99"/>
    <mergeCell ref="A103:H103"/>
    <mergeCell ref="A98:H98"/>
    <mergeCell ref="A104:H104"/>
    <mergeCell ref="B55:K55"/>
  </mergeCells>
  <conditionalFormatting sqref="B6">
    <cfRule type="expression" dxfId="2" priority="3">
      <formula>SUM($I$98:$I$105)&gt;0</formula>
    </cfRule>
  </conditionalFormatting>
  <conditionalFormatting sqref="I47">
    <cfRule type="expression" dxfId="1" priority="1">
      <formula>I47&lt;&gt;0</formula>
    </cfRule>
  </conditionalFormatting>
  <conditionalFormatting sqref="I98:I105">
    <cfRule type="expression" dxfId="0" priority="2">
      <formula>I98&gt;0</formula>
    </cfRule>
  </conditionalFormatting>
  <dataValidations count="7">
    <dataValidation type="date" allowBlank="1" showErrorMessage="1" errorTitle="Fecha no válida" error="Escribí la fecha como dd/mm/aaaa." sqref="B4:B5 F26:F29" xr:uid="{00000000-0002-0000-0300-000000000000}">
      <formula1>DATE(2026,1,1)</formula1>
      <formula2>DATE(2030,12,31)</formula2>
    </dataValidation>
    <dataValidation type="decimal" operator="greaterThanOrEqual" allowBlank="1" showInputMessage="1" showErrorMessage="1" errorTitle="Monto no válido" error="Solo números en colones." promptTitle="Inversión en pauta" prompt="Lo invertido en anuncios pagados de esa pieza en las fechas Desde/Hasta. Vacía = sin pauta (orgánico)." sqref="H10:H13" xr:uid="{00000000-0002-0000-0300-000001000000}">
      <formula1>0</formula1>
    </dataValidation>
    <dataValidation type="whole" operator="greaterThanOrEqual" allowBlank="1" showInputMessage="1" showErrorMessage="1" errorTitle="Alcance no válido" error="Número entero de cuentas o personas alcanzadas." promptTitle="Alcance (Insights)" prompt="Total de cuentas o personas alcanzadas en esa plataforma, no reproducciones. Vacía si la pieza no se publicó ahí o no hay dato." sqref="B26:D29" xr:uid="{00000000-0002-0000-0300-000002000000}">
      <formula1>0</formula1>
    </dataValidation>
    <dataValidation type="decimal" operator="greaterThanOrEqual" allowBlank="1" showInputMessage="1" showErrorMessage="1" errorTitle="Monto no válido" error="Solo números en colones." promptTitle="Pauta sin código" prompt="Solo anuncios que NO usan una pieza con código (por ejemplo, anuncios con foto), en las fechas Desde/Hasta. Vacía = sin pauta." sqref="H42" xr:uid="{00000000-0002-0000-0300-000004000000}">
      <formula1>0</formula1>
    </dataValidation>
    <dataValidation type="list" allowBlank="1" showInputMessage="1" showErrorMessage="1" errorTitle="Valor no válido" error="Elegí Sí o No." promptTitle="Condición" prompt="Elegí Sí o No." sqref="I51 I52 I53 I54" xr:uid="{00000000-0002-0000-0300-000005000000}">
      <formula1>"Sí,No"</formula1>
    </dataValidation>
    <dataValidation type="date" allowBlank="1" showInputMessage="1" showErrorMessage="1" errorTitle="Fecha no válida" error="Escribí la fecha como dd/mm/aaaa." promptTitle="Fecha de publicación" prompt="Día en que se publicó la pieza (dd/mm/aaaa)." sqref="B61:B62" xr:uid="{00000000-0002-0000-0300-000006000000}">
      <formula1>DATE(2026,1,1)</formula1>
      <formula2>DATE(2030,12,31)</formula2>
    </dataValidation>
    <dataValidation type="whole" operator="greaterThanOrEqual" allowBlank="1" showInputMessage="1" showErrorMessage="1" errorTitle="Alcance no válido" error="Número entero de cuentas o personas alcanzadas." promptTitle="Alcance en la ventana" prompt="Cuentas o personas alcanzadas por la pieza, sumando sus plataformas, leído el día «Cuenta hasta». Vacía si no hay dato." sqref="J61:J62" xr:uid="{00000000-0002-0000-0300-000007000000}">
      <formula1>0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Fichas</vt:lpstr>
      <vt:lpstr>Consultas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Altiora</dc:creator>
  <cp:lastModifiedBy>Altiora</cp:lastModifiedBy>
  <dcterms:created xsi:type="dcterms:W3CDTF">2026-10-30T02:32:28Z</dcterms:created>
  <dcterms:modified xsi:type="dcterms:W3CDTF">2026-10-30T02:33:39Z</dcterms:modified>
</cp:coreProperties>
</file>